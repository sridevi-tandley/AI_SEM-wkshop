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Workshops\Forbes_SEM_wkshp_Oct26\Pre_Final\SEM_Workshop_Materials\1_Pre_workshop\Teaching_materials\"/>
    </mc:Choice>
  </mc:AlternateContent>
  <xr:revisionPtr revIDLastSave="0" documentId="13_ncr:1_{49E587C8-3B60-4676-AFDC-5119C2173D4E}" xr6:coauthVersionLast="47" xr6:coauthVersionMax="47" xr10:uidLastSave="{00000000-0000-0000-0000-000000000000}"/>
  <bookViews>
    <workbookView xWindow="-110" yWindow="-110" windowWidth="19420" windowHeight="10420" tabRatio="500" firstSheet="3" activeTab="6" xr2:uid="{00000000-000D-0000-FFFF-FFFF00000000}"/>
  </bookViews>
  <sheets>
    <sheet name="Read me" sheetId="1" r:id="rId1"/>
    <sheet name="Landing pages" sheetId="2" r:id="rId2"/>
    <sheet name="Partner offers" sheetId="3" r:id="rId3"/>
    <sheet name="RSA assets" sheetId="4" r:id="rId4"/>
    <sheet name="A-B tests" sheetId="5" r:id="rId5"/>
    <sheet name="Significance helper" sheetId="6" r:id="rId6"/>
    <sheet name="AI draft ads" sheetId="7" r:id="rId7"/>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14" i="6" l="1"/>
  <c r="C13" i="6"/>
  <c r="C12" i="6"/>
  <c r="C11" i="6"/>
  <c r="C10" i="6"/>
  <c r="B10" i="6"/>
  <c r="C9" i="6"/>
  <c r="B9" i="6"/>
</calcChain>
</file>

<file path=xl/sharedStrings.xml><?xml version="1.0" encoding="utf-8"?>
<sst xmlns="http://schemas.openxmlformats.org/spreadsheetml/2006/main" count="799" uniqueCount="282">
  <si>
    <t>File D · Ads and landing pages: pages, partner offers, assets, A/B tests, AI drafts</t>
  </si>
  <si>
    <t>Synthetic training data created for this workshop. It is NOT Forbes Advisor data. Brand, lender, insurer, software and competitor names are fictional; competitor domains use the reserved .example suffix.</t>
  </si>
  <si>
    <t>What is in this file</t>
  </si>
  <si>
    <t>Landing-page facts and partner offers for each vertical (synthetic summaries, not the live pages), the RSA asset report (assets marked "Google AI" in "Added by" were created by AI Max text customisation), four A/B test results with a significance helper, and the AI-drafted ads used in the Red card / Green card game.</t>
  </si>
  <si>
    <t>Your tasks</t>
  </si>
  <si>
    <t>Module 2, Lab 2: write one responsive search ad (6 headlines, 2 descriptions) for your case and red-team it. Use "Landing pages" and "Partner offers" as the source of truth: every claim must be on the page or in live partner terms, and the tone must follow the team's rule: friendly and positive; no scare tactics or negative framing; no risky claims. Then one guardrail: in "RSA assets", pick the Google AI asset you would remove first, and give the File D reason. A good performance label is not a compliance approval.</t>
  </si>
  <si>
    <t>Module 4, Lab 4b runs as a watch-and-vote game (Video 8) on the four tests in "A-B tests". To practise after the day: compute CTR, click-out rate, revenue per click, cost and profit for A and B, type the numbers into "Significance helper" (or ask Copilot for a two-proportion z-test at 95%), then declare the business winner on profit and the next test.</t>
  </si>
  <si>
    <t>Assume the average CPC shown applies to both variants. Revenue = click-outs × revenue per click-out.</t>
  </si>
  <si>
    <t>Colour code</t>
  </si>
  <si>
    <t>Green header rows = data · Yellow cells with blue text (Significance helper) = type your test's numbers there · Black = formulas.</t>
  </si>
  <si>
    <t>Metric definitions</t>
  </si>
  <si>
    <t>Click-outs = clicks from the comparison page to a partner offer (the conversion we optimise). Revenue = partner commission earned (USD).</t>
  </si>
  <si>
    <t>CTR = Clicks / Impressions · CPC = Cost / Clicks · Click-out rate = Click-outs / Clicks · RPC (revenue per click) = Revenue / Clicks</t>
  </si>
  <si>
    <t>ROAS = Revenue / Cost (1.20 means $1.20 back for every $1 spent) · Profit = Revenue − Cost</t>
  </si>
  <si>
    <t>Target ROAS by vertical: Personal Loans 1.20 · Credit Cards 1.25 · Pet Insurance 1.30 · Business Software (CRM) 1.25</t>
  </si>
  <si>
    <t>Working with Microsoft 365 Copilot in Excel (checked 28 Sep 2026)</t>
  </si>
  <si>
    <t>1. Open Copilot with the Copilot button at the bottom right of the sheet (some versions also show it on the Home tab).</t>
  </si>
  <si>
    <t>2. Pick the mode before you type. "Chat only" answers questions without changing the file. "Allow editing" (the default; this is Edit with Copilot, formerly Agent Mode) adds columns, formulas, PivotTables or charts. "Plan" shows the steps before it edits.</t>
  </si>
  <si>
    <t>3. The data is already an Excel table with one header row, which Copilot reads best. Saving to your team folder on OneDrive is recommended for sharing and AutoSave; Copilot also works on local files.</t>
  </si>
  <si>
    <t>4. Check before you trust: ask Copilot to show the formula it used, recompute one number yourself, and confirm totals match the source table.</t>
  </si>
  <si>
    <t>Vertical</t>
  </si>
  <si>
    <t>Page</t>
  </si>
  <si>
    <t>Final URL</t>
  </si>
  <si>
    <t>Item</t>
  </si>
  <si>
    <t>What the page shows</t>
  </si>
  <si>
    <t>Personal Loans</t>
  </si>
  <si>
    <t>Best Personal Loans of 2026</t>
  </si>
  <si>
    <t>/advisor/personal-loans/best-personal-loans/</t>
  </si>
  <si>
    <t>Scope</t>
  </si>
  <si>
    <t>Independent comparison of 12 personal loan lenders, updated weekly</t>
  </si>
  <si>
    <t>Sections</t>
  </si>
  <si>
    <t>How we rate lenders · Compare lenders side by side · Rates, terms and fees · Debt consolidation loans · Loans by credit score · FAQs</t>
  </si>
  <si>
    <t>APR range shown</t>
  </si>
  <si>
    <t>5.99% to 35.99% APR, depending on lender and credit profile</t>
  </si>
  <si>
    <t>Loan amounts and terms</t>
  </si>
  <si>
    <t>$1,000 to $100,000 · repayment terms of 12 to 84 months (no loans repaid in 60 days or less)</t>
  </si>
  <si>
    <t>Fees</t>
  </si>
  <si>
    <t>Origination fees 0% to 8%; 4 of 12 lenders charge none</t>
  </si>
  <si>
    <t>Representative example</t>
  </si>
  <si>
    <t>$10,000 borrowed over 36 months at 14.99% APR (fees included): 36 monthly payments of $347, total repaid $12,478</t>
  </si>
  <si>
    <t>Prequalification</t>
  </si>
  <si>
    <t>Soft-credit-check prequalification at 7 of 12 lenders</t>
  </si>
  <si>
    <t>Not on the page</t>
  </si>
  <si>
    <t>No approval guarantees · no "no credit check" loans · no payday or title loans</t>
  </si>
  <si>
    <t>Credit Cards</t>
  </si>
  <si>
    <t>Best Travel Credit Cards of 2026</t>
  </si>
  <si>
    <t>/advisor/credit-cards/best-travel-credit-cards/</t>
  </si>
  <si>
    <t>Independent comparison of 10 travel credit cards, updated weekly</t>
  </si>
  <si>
    <t>Top picks · Cards with no foreign transaction fees · Airport lounge access · Airline vs hotel cards · Sign-up bonuses · FAQs</t>
  </si>
  <si>
    <t>Foreign transaction fees</t>
  </si>
  <si>
    <t>0% on 8 of 10 cards</t>
  </si>
  <si>
    <t>Lounge access</t>
  </si>
  <si>
    <t>4 of 10 cards include airport lounge access (Priority Pass on 3)</t>
  </si>
  <si>
    <t>Annual fees</t>
  </si>
  <si>
    <t>$0 to $695; 3 cards have no annual fee</t>
  </si>
  <si>
    <t>Travel credits</t>
  </si>
  <si>
    <t>Global Entry or TSA PreCheck credit on 5 of 10 cards</t>
  </si>
  <si>
    <t>Sign-up bonuses</t>
  </si>
  <si>
    <t>Shown from partner terms and updated weekly (see the partner offers table)</t>
  </si>
  <si>
    <t>No approval guarantees · no cards for bad credit</t>
  </si>
  <si>
    <t>Pet Insurance</t>
  </si>
  <si>
    <t>Best Pet Insurance of 2026</t>
  </si>
  <si>
    <t>/advisor/pet-insurance/best-pet-insurance/</t>
  </si>
  <si>
    <t>Independent comparison of 9 pet insurers, updated monthly</t>
  </si>
  <si>
    <t>How we rate insurers · Compare plans · Cover for older pets · Dog insurance · Cat insurance · Costs and deductibles · FAQs</t>
  </si>
  <si>
    <t>Plan types</t>
  </si>
  <si>
    <t>Accident and illness plans from all 9 insurers; accident-only plans from 5</t>
  </si>
  <si>
    <t>Pre-existing conditions</t>
  </si>
  <si>
    <t>Not covered by any listed insurer (3 cover curable conditions after 12 months without symptoms)</t>
  </si>
  <si>
    <t>Waiting periods</t>
  </si>
  <si>
    <t>Accidents 0 to 3 days · illnesses 14 days · orthopedic conditions 6 months at 4 insurers</t>
  </si>
  <si>
    <t>Older pets</t>
  </si>
  <si>
    <t>No upper enrollment age at 5 of 9 insurers</t>
  </si>
  <si>
    <t>Costs</t>
  </si>
  <si>
    <t>Deductibles $100 to $1,000 · reimbursement 70% to 90% · wellness add-ons at 4 insurers</t>
  </si>
  <si>
    <t>No "covers everything" claims · no cover from day one for illnesses</t>
  </si>
  <si>
    <t>Business Software (CRM)</t>
  </si>
  <si>
    <t>Best CRM Software of 2026</t>
  </si>
  <si>
    <t>/advisor/business/software/best-crm-software/</t>
  </si>
  <si>
    <t>Independent comparison of 12 CRM platforms, updated quarterly</t>
  </si>
  <si>
    <t>Top picks · Compare pricing and features · CRM for real estate · CRM for small business · Integrations · FAQs</t>
  </si>
  <si>
    <t>Pricing</t>
  </si>
  <si>
    <t>Free plans at 3 of 12 (small teams only) · paid plans $12 to $150 per user per month</t>
  </si>
  <si>
    <t>Free trials</t>
  </si>
  <si>
    <t>10 of 12 offer a free trial</t>
  </si>
  <si>
    <t>Real estate</t>
  </si>
  <si>
    <t>MLS integration and transaction pipelines at 5 of 12</t>
  </si>
  <si>
    <t>Features</t>
  </si>
  <si>
    <t>Email automation at 11 of 12 · WhatsApp integration at 4 of 12</t>
  </si>
  <si>
    <t>No "free forever" claim for teams · does not compare 20 or more tools</t>
  </si>
  <si>
    <t>Synthetic summaries of each comparison page, written for this exercise. Not the live Forbes Advisor pages.</t>
  </si>
  <si>
    <t>Partner</t>
  </si>
  <si>
    <t>Product</t>
  </si>
  <si>
    <t>Offer in partner terms</t>
  </si>
  <si>
    <t>Status on 5 Oct</t>
  </si>
  <si>
    <t>Valid until</t>
  </si>
  <si>
    <t>LendWise</t>
  </si>
  <si>
    <t>Personal loan</t>
  </si>
  <si>
    <t>0.25% rate discount with autopay</t>
  </si>
  <si>
    <t>Live</t>
  </si>
  <si>
    <t>31 Dec 2026</t>
  </si>
  <si>
    <t>Northwind Bank</t>
  </si>
  <si>
    <t>Debt consolidation loan</t>
  </si>
  <si>
    <t>No origination fee on debt consolidation loans</t>
  </si>
  <si>
    <t>30 Nov 2026</t>
  </si>
  <si>
    <t>Crestline Credit</t>
  </si>
  <si>
    <t>Funding in 1 business day after approval</t>
  </si>
  <si>
    <t>Ongoing</t>
  </si>
  <si>
    <t>BrightPath Lending</t>
  </si>
  <si>
    <t>$200 bonus on loans over $15,000</t>
  </si>
  <si>
    <t>Expired</t>
  </si>
  <si>
    <t>30 Sep 2026</t>
  </si>
  <si>
    <t>Summit Card</t>
  </si>
  <si>
    <t>Travel rewards card</t>
  </si>
  <si>
    <t>60,000 bonus points after $4,000 spend in 3 months</t>
  </si>
  <si>
    <t>31 Oct 2026</t>
  </si>
  <si>
    <t>Skyward Miles Card</t>
  </si>
  <si>
    <t>Airline card</t>
  </si>
  <si>
    <t>75,000 bonus miles after $3,000 spend in 3 months</t>
  </si>
  <si>
    <t>15 Oct 2026</t>
  </si>
  <si>
    <t>Atlas Rewards Visa</t>
  </si>
  <si>
    <t>100,000 bonus miles after $5,000 spend in 3 months</t>
  </si>
  <si>
    <t>20 Sep 2026</t>
  </si>
  <si>
    <t>Meridian Voyager</t>
  </si>
  <si>
    <t>No-fee travel card</t>
  </si>
  <si>
    <t>No sign-up bonus; $0 annual fee; 0% foreign transaction fee</t>
  </si>
  <si>
    <t>PawSure</t>
  </si>
  <si>
    <t>Accident and illness</t>
  </si>
  <si>
    <t>10% multi-pet discount</t>
  </si>
  <si>
    <t>PetGuard</t>
  </si>
  <si>
    <t>First month free</t>
  </si>
  <si>
    <t>WhiskerShield</t>
  </si>
  <si>
    <t>No upper enrollment age</t>
  </si>
  <si>
    <t>TailWell</t>
  </si>
  <si>
    <t>Wellness add-on</t>
  </si>
  <si>
    <t>Wellness add-on from $15 a month</t>
  </si>
  <si>
    <t>PipelinePro</t>
  </si>
  <si>
    <t>Sales CRM</t>
  </si>
  <si>
    <t>Free plan for up to 2 users</t>
  </si>
  <si>
    <t>SalesNest</t>
  </si>
  <si>
    <t>30-day free trial</t>
  </si>
  <si>
    <t>ClientHive</t>
  </si>
  <si>
    <t>Real-estate CRM</t>
  </si>
  <si>
    <t>Free plan for up to 3 users; MLS integration on paid plans</t>
  </si>
  <si>
    <t>DealFlow</t>
  </si>
  <si>
    <t>20% off annual plans</t>
  </si>
  <si>
    <t>Partner names are fictional. Offers change weekly: an ad may only mention an offer that is live today.</t>
  </si>
  <si>
    <t>Campaign</t>
  </si>
  <si>
    <t>Asset type</t>
  </si>
  <si>
    <t>Asset</t>
  </si>
  <si>
    <t>Pinned</t>
  </si>
  <si>
    <t>Added by</t>
  </si>
  <si>
    <t>Performance</t>
  </si>
  <si>
    <t>Impressions</t>
  </si>
  <si>
    <t>US | Personal Loans | Comparison</t>
  </si>
  <si>
    <t>Headline</t>
  </si>
  <si>
    <t>Compare Personal Loan Rates</t>
  </si>
  <si>
    <t>Position 1</t>
  </si>
  <si>
    <t>Advertiser</t>
  </si>
  <si>
    <t>Best</t>
  </si>
  <si>
    <t>Good</t>
  </si>
  <si>
    <t>Check Rates From Top Lenders</t>
  </si>
  <si>
    <t>Debt Consolidation Loans</t>
  </si>
  <si>
    <t>Low</t>
  </si>
  <si>
    <t>Compare Offers Side by Side</t>
  </si>
  <si>
    <t>Loans for Good &amp; Fair Credit</t>
  </si>
  <si>
    <t>Learning</t>
  </si>
  <si>
    <t>Expert Reviews, Updated Daily</t>
  </si>
  <si>
    <t>Find Your Best Loan Match</t>
  </si>
  <si>
    <t>No-Fee Loan Options Compared</t>
  </si>
  <si>
    <t>Forbes Advisor Loan Guide</t>
  </si>
  <si>
    <t>Compare APRs and Loan Terms</t>
  </si>
  <si>
    <t>Get Approved in Minutes</t>
  </si>
  <si>
    <t>Google AI</t>
  </si>
  <si>
    <t>No Credit Check Needed</t>
  </si>
  <si>
    <t>Rates From Top Lenders</t>
  </si>
  <si>
    <t>Description</t>
  </si>
  <si>
    <t>Compare personal loan offers from trusted lenders. See rates, terms and fees in one place.</t>
  </si>
  <si>
    <t>Independent reviews from our editorial team. Find a loan that fits your budget.</t>
  </si>
  <si>
    <t>Check if you prequalify with participating lenders. Compare real offers side by side.</t>
  </si>
  <si>
    <t>US | Credit Cards | Travel Rewards</t>
  </si>
  <si>
    <t>Compare Top Travel Cards</t>
  </si>
  <si>
    <t>Best Travel Credit Cards</t>
  </si>
  <si>
    <t>Earn Miles on Every Purchase</t>
  </si>
  <si>
    <t>No Foreign Transaction Fees</t>
  </si>
  <si>
    <t>Lounge Access Travel Cards</t>
  </si>
  <si>
    <t>Compare Sign-Up Bonuses</t>
  </si>
  <si>
    <t>Expert Card Reviews</t>
  </si>
  <si>
    <t>Find Your Travel Card</t>
  </si>
  <si>
    <t>Airline &amp; Hotel Cards Compared</t>
  </si>
  <si>
    <t>Forbes Advisor Card Guide</t>
  </si>
  <si>
    <t>Premium &amp; No-Fee Cards</t>
  </si>
  <si>
    <t>Guaranteed Approval Cards</t>
  </si>
  <si>
    <t>Earn Rewards on Every Trip</t>
  </si>
  <si>
    <t>Compare travel rewards cards side by side. See fees, bonuses and perks in one place.</t>
  </si>
  <si>
    <t>Independent ratings from our editors. Find a card that fits how you travel.</t>
  </si>
  <si>
    <t>Find cards with no foreign transaction fees and lounge access. Compare benefits today.</t>
  </si>
  <si>
    <t>Earn miles on every purchase. Compare top travel cards.</t>
  </si>
  <si>
    <t>US | Pet Insurance | Comparison</t>
  </si>
  <si>
    <t>Compare Pet Insurance Quotes</t>
  </si>
  <si>
    <t>Dog &amp; Cat Insurance Compared</t>
  </si>
  <si>
    <t>Coverage for Older Pets</t>
  </si>
  <si>
    <t>Compare Deductibles &amp; Limits</t>
  </si>
  <si>
    <t>Expert Pet Insurance Reviews</t>
  </si>
  <si>
    <t>Accident &amp; Illness Plans</t>
  </si>
  <si>
    <t>Find the Right Pet Plan</t>
  </si>
  <si>
    <t>Compare Top Pet Insurers</t>
  </si>
  <si>
    <t>Forbes Advisor Pet Guide</t>
  </si>
  <si>
    <t>Plans for Puppies &amp; Kittens</t>
  </si>
  <si>
    <t>Covers Pre-Existing Conditions</t>
  </si>
  <si>
    <t>Top Pet Insurers Compared</t>
  </si>
  <si>
    <t>Vet Bills Could Ruin You</t>
  </si>
  <si>
    <t>Compare pet insurance side by side. See coverage, deductibles and costs in one place.</t>
  </si>
  <si>
    <t>Independent reviews from our editors. Find a plan that fits your pet and budget.</t>
  </si>
  <si>
    <t>Compare accident and illness cover from leading insurers. Get quotes in minutes.</t>
  </si>
  <si>
    <t>US | Business Software | CRM</t>
  </si>
  <si>
    <t>Compare Top CRM Software</t>
  </si>
  <si>
    <t>CRM for Small Business</t>
  </si>
  <si>
    <t>Compare CRM Pricing</t>
  </si>
  <si>
    <t>CRM Reviews From Our Experts</t>
  </si>
  <si>
    <t>Find the Right CRM</t>
  </si>
  <si>
    <t>Sales CRM Tools Compared</t>
  </si>
  <si>
    <t>CRM for Real Estate Teams</t>
  </si>
  <si>
    <t>Compare Features Side by Side</t>
  </si>
  <si>
    <t>Forbes Advisor CRM Guide</t>
  </si>
  <si>
    <t>Cloud CRM Platforms Ranked</t>
  </si>
  <si>
    <t>Free CRM Forever</t>
  </si>
  <si>
    <t>Compare CRM software side by side. See pricing, features and integrations in one place.</t>
  </si>
  <si>
    <t>Independent ratings from our editors. Find a CRM that fits your team and budget.</t>
  </si>
  <si>
    <t>Compare sales CRMs with email automation, pipelines and reporting. Start free trials.</t>
  </si>
  <si>
    <t>Compare 20+ CRM tools with pricing, features and reviews. Updated for 2026.</t>
  </si>
  <si>
    <t>Report period: 1–27 Sep 2026, each campaign's main responsive search ad (about 60% of campaign impressions). A headline pinned to position 1 shows in every impression of the ad; the other assets share the remaining slots.</t>
  </si>
  <si>
    <t>Test</t>
  </si>
  <si>
    <t>Variant</t>
  </si>
  <si>
    <t>Changed asset</t>
  </si>
  <si>
    <t>Clicks</t>
  </si>
  <si>
    <t>Click-outs</t>
  </si>
  <si>
    <t>Revenue per click-out (USD)</t>
  </si>
  <si>
    <t>Avg CPC (USD)</t>
  </si>
  <si>
    <t>Headline test: comparison-led vs rate-led</t>
  </si>
  <si>
    <t>A (control)</t>
  </si>
  <si>
    <t>B (challenger)</t>
  </si>
  <si>
    <t>Rates From 5.99% APR - Compare</t>
  </si>
  <si>
    <t>Description test: generic vs specific benefits</t>
  </si>
  <si>
    <t>No foreign transaction fees. Lounge access. Compare cards side by side.</t>
  </si>
  <si>
    <t>Headline test: quotes vs older pets</t>
  </si>
  <si>
    <t>Coverage for Older Dogs &amp; Cats</t>
  </si>
  <si>
    <t>Headline test: compare vs free</t>
  </si>
  <si>
    <t>Try a Free CRM Today</t>
  </si>
  <si>
    <t>Test period: 16–27 Sep 2026. Both variants ran at 50/50 rotation on the ad group under test.</t>
  </si>
  <si>
    <t>Significance helper: two-proportion z-test at 95%</t>
  </si>
  <si>
    <t>Type your test's numbers into the yellow cells (from the A-B tests sheet). Results stay blank until all six inputs are filled.</t>
  </si>
  <si>
    <t>CTR</t>
  </si>
  <si>
    <t>Click-out rate</t>
  </si>
  <si>
    <t>CTR: z</t>
  </si>
  <si>
    <t>CTR: p-value (two-sided)</t>
  </si>
  <si>
    <t>Click-out rate: z</t>
  </si>
  <si>
    <t>Click-out rate: p-value (two-sided)</t>
  </si>
  <si>
    <t>A p-value below 0.05 means the difference is significant at 95%. Significance is not the verdict: judge the winner on profit.</t>
  </si>
  <si>
    <t>ID</t>
  </si>
  <si>
    <t>Loans Approved Guaranteed</t>
  </si>
  <si>
    <t>Everyone qualifies. Apply now and get your money today.</t>
  </si>
  <si>
    <t>Personal Loans!!</t>
  </si>
  <si>
    <t>Compare lenders fast. Check your rate in minutes.</t>
  </si>
  <si>
    <t>Call 1-800-555-0199 Today</t>
  </si>
  <si>
    <t>Speak to a loan expert now. Compare offers from top lenders.</t>
  </si>
  <si>
    <t>Earn 100,000 Bonus Miles Now</t>
  </si>
  <si>
    <t>Limited-time offer on our top-rated travel card. Apply today.</t>
  </si>
  <si>
    <t>CRM Software Comparison 2026</t>
  </si>
  <si>
    <t>Best Loan Rates for Bad Credit Guaranteed Today</t>
  </si>
  <si>
    <t>Low rates for everyone, even with bad credit. No checks.</t>
  </si>
  <si>
    <t>Lowest APR in America</t>
  </si>
  <si>
    <t>We beat every lender on price. Compare now.</t>
  </si>
  <si>
    <t>FREE Loan Quotes Online</t>
  </si>
  <si>
    <t>Compare quotes from top lenders. It only takes minutes.</t>
  </si>
  <si>
    <t>Pet Insurance Covers Everything</t>
  </si>
  <si>
    <t>All conditions covered from day one. Compare plans now.</t>
  </si>
  <si>
    <t>L0w-Rate L0ans</t>
  </si>
  <si>
    <t>Compare personal loan rates from top lenders.</t>
  </si>
  <si>
    <t>🔥 Hot Travel Card Deals</t>
  </si>
  <si>
    <t>Compare the best travel cards this season.</t>
  </si>
  <si>
    <t>Drafted by an AI assistant for this exercise. Decide for each: ship (green) or stop (red), and why. Use =LEN() to check character limits (headline 30, description 90).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</si>
</sst>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0;&quot;($&quot;#,##0.00\);\-"/>
    <numFmt numFmtId="166" formatCode="0.0%;\(0.0%\);\-"/>
    <numFmt numFmtId="167" formatCode="0.000"/>
  </numFmts>
  <fonts count="8" x14ac:knownFonts="1">
    <font>
      <sz val="11"/>
      <color theme="1"/>
      <name val="Calibri"/>
      <family val="2"/>
      <charset val="1"/>
    </font>
    <font>
      <b/>
      <sz val="16"/>
      <color rgb="FF1B5E3B"/>
      <name val="Arial"/>
      <family val="2"/>
    </font>
    <font>
      <i/>
      <sz val="9"/>
      <color rgb="FF5F6B76"/>
      <name val="Arial"/>
      <family val="2"/>
    </font>
    <font>
      <b/>
      <sz val="11"/>
      <color rgb="FF0F766E"/>
      <name val="Arial"/>
      <family val="2"/>
    </font>
    <font>
      <sz val="10"/>
      <color rgb="FF1F2933"/>
      <name val="Arial"/>
      <family val="2"/>
    </font>
    <font>
      <b/>
      <sz val="10"/>
      <color rgb="FFFFFFFF"/>
      <name val="Arial"/>
      <family val="2"/>
    </font>
    <font>
      <b/>
      <sz val="10"/>
      <color rgb="FF1F2933"/>
      <name val="Arial"/>
      <family val="2"/>
    </font>
    <font>
      <sz val="10"/>
      <color rgb="FF0000FF"/>
      <name val="Arial"/>
      <family val="2"/>
    </font>
  </fonts>
  <fills count="5">
    <fill>
      <patternFill patternType="none"/>
    </fill>
    <fill>
      <patternFill patternType="gray125"/>
    </fill>
    <fill>
      <patternFill patternType="solid">
        <fgColor rgb="FF1B5E3B"/>
        <bgColor rgb="FF0F766E"/>
      </patternFill>
    </fill>
    <fill>
      <patternFill patternType="solid">
        <fgColor rgb="FFFFFF00"/>
        <bgColor rgb="FFFFFF00"/>
      </patternFill>
    </fill>
    <fill>
      <patternFill patternType="solid">
        <fgColor theme="5" tint="0.79998168889431442"/>
        <bgColor indexed="64"/>
      </patternFill>
    </fill>
  </fills>
  <borders count="1">
    <border>
      <left/>
      <right/>
      <top/>
      <bottom/>
      <diagonal/>
    </border>
  </borders>
  <cellStyleXfs count="1">
    <xf numFmtId="0" fontId="0" fillId="0" borderId="0"/>
  </cellStyleXfs>
  <cellXfs count="17">
    <xf numFmtId="0" fontId="0" fillId="0" borderId="0" xfId="0"/>
    <xf numFmtId="0" fontId="1" fillId="0" borderId="0" xfId="0" applyFont="1"/>
    <xf numFmtId="0" fontId="2" fillId="0" borderId="0" xfId="0" applyFont="1" applyAlignment="1">
      <alignment vertical="top" wrapText="1"/>
    </xf>
    <xf numFmtId="0" fontId="3" fillId="0" borderId="0" xfId="0" applyFont="1"/>
    <xf numFmtId="0" fontId="4" fillId="0" borderId="0" xfId="0" applyFont="1" applyAlignment="1">
      <alignment vertical="top" wrapText="1"/>
    </xf>
    <xf numFmtId="0" fontId="5" fillId="2" borderId="0" xfId="0" applyFont="1" applyFill="1" applyAlignment="1">
      <alignment vertical="center" wrapText="1"/>
    </xf>
    <xf numFmtId="0" fontId="4" fillId="0" borderId="0" xfId="0" applyFont="1"/>
    <xf numFmtId="0" fontId="2" fillId="0" borderId="0" xfId="0" applyFont="1"/>
    <xf numFmtId="164" fontId="4" fillId="0" borderId="0" xfId="0" applyNumberFormat="1" applyFont="1"/>
    <xf numFmtId="165" fontId="4" fillId="0" borderId="0" xfId="0" applyNumberFormat="1" applyFont="1"/>
    <xf numFmtId="0" fontId="5" fillId="2" borderId="0" xfId="0" applyFont="1" applyFill="1"/>
    <xf numFmtId="0" fontId="6" fillId="0" borderId="0" xfId="0" applyFont="1"/>
    <xf numFmtId="164" fontId="7" fillId="3" borderId="0" xfId="0" applyNumberFormat="1" applyFont="1" applyFill="1"/>
    <xf numFmtId="166" fontId="4" fillId="0" borderId="0" xfId="0" applyNumberFormat="1" applyFont="1"/>
    <xf numFmtId="2" fontId="4" fillId="0" borderId="0" xfId="0" applyNumberFormat="1" applyFont="1"/>
    <xf numFmtId="167" fontId="4" fillId="0" borderId="0" xfId="0" applyNumberFormat="1" applyFont="1"/>
    <xf numFmtId="0" fontId="4" fillId="4" borderId="0" xfId="0" applyFont="1" applyFill="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1B5E3B"/>
      <rgbColor rgb="FF000080"/>
      <rgbColor rgb="FF808000"/>
      <rgbColor rgb="FF800080"/>
      <rgbColor rgb="FF0F766E"/>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F6B76"/>
      <rgbColor rgb="FF969696"/>
      <rgbColor rgb="FF003366"/>
      <rgbColor rgb="FF339966"/>
      <rgbColor rgb="FF003300"/>
      <rgbColor rgb="FF333300"/>
      <rgbColor rgb="FF993300"/>
      <rgbColor rgb="FF993366"/>
      <rgbColor rgb="FF333399"/>
      <rgbColor rgb="FF1F29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LandingPages" displayName="LandingPages" ref="A1:E32" totalsRowShown="0">
  <autoFilter ref="A1:E32" xr:uid="{00000000-0009-0000-0100-000003000000}"/>
  <tableColumns count="5">
    <tableColumn id="1" xr3:uid="{00000000-0010-0000-0000-000001000000}" name="Vertical"/>
    <tableColumn id="2" xr3:uid="{00000000-0010-0000-0000-000002000000}" name="Page"/>
    <tableColumn id="3" xr3:uid="{00000000-0010-0000-0000-000003000000}" name="Final URL"/>
    <tableColumn id="4" xr3:uid="{00000000-0010-0000-0000-000004000000}" name="Item"/>
    <tableColumn id="5" xr3:uid="{00000000-0010-0000-0000-000005000000}" name="What the page shows"/>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1000000}" name="PartnerOffers" displayName="PartnerOffers" ref="A1:F17" totalsRowShown="0">
  <autoFilter ref="A1:F17" xr:uid="{00000000-0009-0000-0100-000004000000}"/>
  <tableColumns count="6">
    <tableColumn id="1" xr3:uid="{00000000-0010-0000-0100-000001000000}" name="Vertical"/>
    <tableColumn id="2" xr3:uid="{00000000-0010-0000-0100-000002000000}" name="Partner"/>
    <tableColumn id="3" xr3:uid="{00000000-0010-0000-0100-000003000000}" name="Product"/>
    <tableColumn id="4" xr3:uid="{00000000-0010-0000-0100-000004000000}" name="Offer in partner terms"/>
    <tableColumn id="5" xr3:uid="{00000000-0010-0000-0100-000005000000}" name="Status on 5 Oct"/>
    <tableColumn id="6" xr3:uid="{00000000-0010-0000-0100-000006000000}" name="Valid until"/>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RSAAssets" displayName="RSAAssets" ref="A1:H68" totalsRowShown="0">
  <autoFilter ref="A1:H68" xr:uid="{00000000-0009-0000-0100-000005000000}"/>
  <tableColumns count="8">
    <tableColumn id="1" xr3:uid="{00000000-0010-0000-0200-000001000000}" name="Vertical"/>
    <tableColumn id="2" xr3:uid="{00000000-0010-0000-0200-000002000000}" name="Campaign"/>
    <tableColumn id="3" xr3:uid="{00000000-0010-0000-0200-000003000000}" name="Asset type"/>
    <tableColumn id="4" xr3:uid="{00000000-0010-0000-0200-000004000000}" name="Asset"/>
    <tableColumn id="5" xr3:uid="{00000000-0010-0000-0200-000005000000}" name="Pinned"/>
    <tableColumn id="6" xr3:uid="{00000000-0010-0000-0200-000006000000}" name="Added by"/>
    <tableColumn id="7" xr3:uid="{00000000-0010-0000-0200-000007000000}" name="Performance"/>
    <tableColumn id="8" xr3:uid="{00000000-0010-0000-0200-000008000000}" name="Impressions"/>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3000000}" name="ABTests" displayName="ABTests" ref="A1:I9" totalsRowShown="0">
  <autoFilter ref="A1:I9" xr:uid="{00000000-0009-0000-0100-000001000000}"/>
  <tableColumns count="9">
    <tableColumn id="1" xr3:uid="{00000000-0010-0000-0300-000001000000}" name="Vertical"/>
    <tableColumn id="2" xr3:uid="{00000000-0010-0000-0300-000002000000}" name="Test"/>
    <tableColumn id="3" xr3:uid="{00000000-0010-0000-0300-000003000000}" name="Variant"/>
    <tableColumn id="4" xr3:uid="{00000000-0010-0000-0300-000004000000}" name="Changed asset"/>
    <tableColumn id="5" xr3:uid="{00000000-0010-0000-0300-000005000000}" name="Impressions"/>
    <tableColumn id="6" xr3:uid="{00000000-0010-0000-0300-000006000000}" name="Clicks"/>
    <tableColumn id="7" xr3:uid="{00000000-0010-0000-0300-000007000000}" name="Click-outs"/>
    <tableColumn id="8" xr3:uid="{00000000-0010-0000-0300-000008000000}" name="Revenue per click-out (USD)"/>
    <tableColumn id="9" xr3:uid="{00000000-0010-0000-0300-000009000000}" name="Avg CPC (USD)"/>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4000000}" name="AIDraftAds" displayName="AIDraftAds" ref="A1:D14" totalsRowShown="0">
  <autoFilter ref="A1:D14" xr:uid="{00000000-0009-0000-0100-000002000000}"/>
  <tableColumns count="4">
    <tableColumn id="1" xr3:uid="{00000000-0010-0000-0400-000001000000}" name="ID"/>
    <tableColumn id="2" xr3:uid="{00000000-0010-0000-0400-000002000000}" name="Vertical"/>
    <tableColumn id="3" xr3:uid="{00000000-0010-0000-0400-000003000000}" name="Headline"/>
    <tableColumn id="4" xr3:uid="{00000000-0010-0000-0400-000004000000}" name="Descriptio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B5E3B"/>
  </sheetPr>
  <dimension ref="A1:A21"/>
  <sheetViews>
    <sheetView showGridLines="0" zoomScaleNormal="100" workbookViewId="0"/>
  </sheetViews>
  <sheetFormatPr defaultColWidth="8.6328125" defaultRowHeight="14.5" x14ac:dyDescent="0.35"/>
  <cols>
    <col min="1" max="1" width="120" customWidth="1"/>
  </cols>
  <sheetData>
    <row r="1" spans="1:1" ht="20" x14ac:dyDescent="0.4">
      <c r="A1" s="1" t="s">
        <v>0</v>
      </c>
    </row>
    <row r="2" spans="1:1" ht="30" customHeight="1" x14ac:dyDescent="0.35">
      <c r="A2" s="2" t="s">
        <v>1</v>
      </c>
    </row>
    <row r="4" spans="1:1" x14ac:dyDescent="0.35">
      <c r="A4" s="3" t="s">
        <v>2</v>
      </c>
    </row>
    <row r="5" spans="1:1" ht="45" customHeight="1" x14ac:dyDescent="0.35">
      <c r="A5" s="4" t="s">
        <v>3</v>
      </c>
    </row>
    <row r="6" spans="1:1" x14ac:dyDescent="0.35">
      <c r="A6" s="3" t="s">
        <v>4</v>
      </c>
    </row>
    <row r="7" spans="1:1" ht="75" customHeight="1" x14ac:dyDescent="0.35">
      <c r="A7" s="4" t="s">
        <v>5</v>
      </c>
    </row>
    <row r="8" spans="1:1" ht="60" customHeight="1" x14ac:dyDescent="0.35">
      <c r="A8" s="4" t="s">
        <v>6</v>
      </c>
    </row>
    <row r="9" spans="1:1" ht="15" customHeight="1" x14ac:dyDescent="0.35">
      <c r="A9" s="4" t="s">
        <v>7</v>
      </c>
    </row>
    <row r="10" spans="1:1" x14ac:dyDescent="0.35">
      <c r="A10" s="3" t="s">
        <v>8</v>
      </c>
    </row>
    <row r="11" spans="1:1" ht="30" customHeight="1" x14ac:dyDescent="0.35">
      <c r="A11" s="4" t="s">
        <v>9</v>
      </c>
    </row>
    <row r="12" spans="1:1" x14ac:dyDescent="0.35">
      <c r="A12" s="3" t="s">
        <v>10</v>
      </c>
    </row>
    <row r="13" spans="1:1" ht="30" customHeight="1" x14ac:dyDescent="0.35">
      <c r="A13" s="4" t="s">
        <v>11</v>
      </c>
    </row>
    <row r="14" spans="1:1" ht="30" customHeight="1" x14ac:dyDescent="0.35">
      <c r="A14" s="4" t="s">
        <v>12</v>
      </c>
    </row>
    <row r="15" spans="1:1" ht="15" customHeight="1" x14ac:dyDescent="0.35">
      <c r="A15" s="4" t="s">
        <v>13</v>
      </c>
    </row>
    <row r="16" spans="1:1" ht="30" customHeight="1" x14ac:dyDescent="0.35">
      <c r="A16" s="4" t="s">
        <v>14</v>
      </c>
    </row>
    <row r="17" spans="1:1" x14ac:dyDescent="0.35">
      <c r="A17" s="3" t="s">
        <v>15</v>
      </c>
    </row>
    <row r="18" spans="1:1" ht="30" customHeight="1" x14ac:dyDescent="0.35">
      <c r="A18" s="4" t="s">
        <v>16</v>
      </c>
    </row>
    <row r="19" spans="1:1" ht="45" customHeight="1" x14ac:dyDescent="0.35">
      <c r="A19" s="4" t="s">
        <v>17</v>
      </c>
    </row>
    <row r="20" spans="1:1" ht="30" customHeight="1" x14ac:dyDescent="0.35">
      <c r="A20" s="4" t="s">
        <v>18</v>
      </c>
    </row>
    <row r="21" spans="1:1" ht="30" customHeight="1" x14ac:dyDescent="0.35">
      <c r="A21" s="4" t="s">
        <v>19</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B5E3B"/>
  </sheetPr>
  <dimension ref="A1:E34"/>
  <sheetViews>
    <sheetView zoomScaleNormal="100" workbookViewId="0">
      <pane ySplit="1" topLeftCell="A2" activePane="bottomLeft" state="frozen"/>
      <selection pane="bottomLeft" activeCell="D6" sqref="D6"/>
    </sheetView>
  </sheetViews>
  <sheetFormatPr defaultColWidth="8.6328125" defaultRowHeight="14.5" x14ac:dyDescent="0.35"/>
  <cols>
    <col min="1" max="1" width="22" customWidth="1"/>
    <col min="2" max="2" width="32" customWidth="1"/>
    <col min="3" max="3" width="46" customWidth="1"/>
    <col min="4" max="4" width="24" customWidth="1"/>
    <col min="5" max="5" width="120" customWidth="1"/>
  </cols>
  <sheetData>
    <row r="1" spans="1:5" ht="30" customHeight="1" x14ac:dyDescent="0.35">
      <c r="A1" s="5" t="s">
        <v>20</v>
      </c>
      <c r="B1" s="5" t="s">
        <v>21</v>
      </c>
      <c r="C1" s="5" t="s">
        <v>22</v>
      </c>
      <c r="D1" s="5" t="s">
        <v>23</v>
      </c>
      <c r="E1" s="5" t="s">
        <v>24</v>
      </c>
    </row>
    <row r="2" spans="1:5" x14ac:dyDescent="0.35">
      <c r="A2" s="6" t="s">
        <v>25</v>
      </c>
      <c r="B2" s="6" t="s">
        <v>26</v>
      </c>
      <c r="C2" s="6" t="s">
        <v>27</v>
      </c>
      <c r="D2" s="6" t="s">
        <v>28</v>
      </c>
      <c r="E2" s="4" t="s">
        <v>29</v>
      </c>
    </row>
    <row r="3" spans="1:5" ht="32.25" customHeight="1" x14ac:dyDescent="0.35">
      <c r="A3" s="6" t="s">
        <v>25</v>
      </c>
      <c r="B3" s="6" t="s">
        <v>26</v>
      </c>
      <c r="C3" s="6" t="s">
        <v>27</v>
      </c>
      <c r="D3" s="6" t="s">
        <v>30</v>
      </c>
      <c r="E3" s="4" t="s">
        <v>31</v>
      </c>
    </row>
    <row r="4" spans="1:5" x14ac:dyDescent="0.35">
      <c r="A4" s="6" t="s">
        <v>25</v>
      </c>
      <c r="B4" s="6" t="s">
        <v>26</v>
      </c>
      <c r="C4" s="6" t="s">
        <v>27</v>
      </c>
      <c r="D4" s="16" t="s">
        <v>32</v>
      </c>
      <c r="E4" s="4" t="s">
        <v>33</v>
      </c>
    </row>
    <row r="5" spans="1:5" x14ac:dyDescent="0.35">
      <c r="A5" s="6" t="s">
        <v>25</v>
      </c>
      <c r="B5" s="6" t="s">
        <v>26</v>
      </c>
      <c r="C5" s="6" t="s">
        <v>27</v>
      </c>
      <c r="D5" s="16" t="s">
        <v>34</v>
      </c>
      <c r="E5" s="4" t="s">
        <v>35</v>
      </c>
    </row>
    <row r="6" spans="1:5" x14ac:dyDescent="0.35">
      <c r="A6" s="6" t="s">
        <v>25</v>
      </c>
      <c r="B6" s="6" t="s">
        <v>26</v>
      </c>
      <c r="C6" s="6" t="s">
        <v>27</v>
      </c>
      <c r="D6" s="16" t="s">
        <v>36</v>
      </c>
      <c r="E6" s="4" t="s">
        <v>37</v>
      </c>
    </row>
    <row r="7" spans="1:5" x14ac:dyDescent="0.35">
      <c r="A7" s="6" t="s">
        <v>25</v>
      </c>
      <c r="B7" s="6" t="s">
        <v>26</v>
      </c>
      <c r="C7" s="6" t="s">
        <v>27</v>
      </c>
      <c r="D7" s="6" t="s">
        <v>38</v>
      </c>
      <c r="E7" s="4" t="s">
        <v>39</v>
      </c>
    </row>
    <row r="8" spans="1:5" x14ac:dyDescent="0.35">
      <c r="A8" s="6" t="s">
        <v>25</v>
      </c>
      <c r="B8" s="6" t="s">
        <v>26</v>
      </c>
      <c r="C8" s="6" t="s">
        <v>27</v>
      </c>
      <c r="D8" s="6" t="s">
        <v>40</v>
      </c>
      <c r="E8" s="4" t="s">
        <v>41</v>
      </c>
    </row>
    <row r="9" spans="1:5" x14ac:dyDescent="0.35">
      <c r="A9" s="6" t="s">
        <v>25</v>
      </c>
      <c r="B9" s="6" t="s">
        <v>26</v>
      </c>
      <c r="C9" s="6" t="s">
        <v>27</v>
      </c>
      <c r="D9" s="6" t="s">
        <v>42</v>
      </c>
      <c r="E9" s="4" t="s">
        <v>43</v>
      </c>
    </row>
    <row r="10" spans="1:5" x14ac:dyDescent="0.35">
      <c r="A10" s="6" t="s">
        <v>44</v>
      </c>
      <c r="B10" s="6" t="s">
        <v>45</v>
      </c>
      <c r="C10" s="6" t="s">
        <v>46</v>
      </c>
      <c r="D10" s="6" t="s">
        <v>28</v>
      </c>
      <c r="E10" s="4" t="s">
        <v>47</v>
      </c>
    </row>
    <row r="11" spans="1:5" x14ac:dyDescent="0.35">
      <c r="A11" s="6" t="s">
        <v>44</v>
      </c>
      <c r="B11" s="6" t="s">
        <v>45</v>
      </c>
      <c r="C11" s="6" t="s">
        <v>46</v>
      </c>
      <c r="D11" s="6" t="s">
        <v>30</v>
      </c>
      <c r="E11" s="4" t="s">
        <v>48</v>
      </c>
    </row>
    <row r="12" spans="1:5" x14ac:dyDescent="0.35">
      <c r="A12" s="6" t="s">
        <v>44</v>
      </c>
      <c r="B12" s="6" t="s">
        <v>45</v>
      </c>
      <c r="C12" s="6" t="s">
        <v>46</v>
      </c>
      <c r="D12" s="6" t="s">
        <v>49</v>
      </c>
      <c r="E12" s="4" t="s">
        <v>50</v>
      </c>
    </row>
    <row r="13" spans="1:5" x14ac:dyDescent="0.35">
      <c r="A13" s="6" t="s">
        <v>44</v>
      </c>
      <c r="B13" s="6" t="s">
        <v>45</v>
      </c>
      <c r="C13" s="6" t="s">
        <v>46</v>
      </c>
      <c r="D13" s="6" t="s">
        <v>51</v>
      </c>
      <c r="E13" s="4" t="s">
        <v>52</v>
      </c>
    </row>
    <row r="14" spans="1:5" x14ac:dyDescent="0.35">
      <c r="A14" s="6" t="s">
        <v>44</v>
      </c>
      <c r="B14" s="6" t="s">
        <v>45</v>
      </c>
      <c r="C14" s="6" t="s">
        <v>46</v>
      </c>
      <c r="D14" s="6" t="s">
        <v>53</v>
      </c>
      <c r="E14" s="4" t="s">
        <v>54</v>
      </c>
    </row>
    <row r="15" spans="1:5" x14ac:dyDescent="0.35">
      <c r="A15" s="6" t="s">
        <v>44</v>
      </c>
      <c r="B15" s="6" t="s">
        <v>45</v>
      </c>
      <c r="C15" s="6" t="s">
        <v>46</v>
      </c>
      <c r="D15" s="6" t="s">
        <v>55</v>
      </c>
      <c r="E15" s="4" t="s">
        <v>56</v>
      </c>
    </row>
    <row r="16" spans="1:5" x14ac:dyDescent="0.35">
      <c r="A16" s="6" t="s">
        <v>44</v>
      </c>
      <c r="B16" s="6" t="s">
        <v>45</v>
      </c>
      <c r="C16" s="6" t="s">
        <v>46</v>
      </c>
      <c r="D16" s="6" t="s">
        <v>57</v>
      </c>
      <c r="E16" s="4" t="s">
        <v>58</v>
      </c>
    </row>
    <row r="17" spans="1:5" x14ac:dyDescent="0.35">
      <c r="A17" s="6" t="s">
        <v>44</v>
      </c>
      <c r="B17" s="6" t="s">
        <v>45</v>
      </c>
      <c r="C17" s="6" t="s">
        <v>46</v>
      </c>
      <c r="D17" s="6" t="s">
        <v>42</v>
      </c>
      <c r="E17" s="4" t="s">
        <v>59</v>
      </c>
    </row>
    <row r="18" spans="1:5" x14ac:dyDescent="0.35">
      <c r="A18" s="6" t="s">
        <v>60</v>
      </c>
      <c r="B18" s="6" t="s">
        <v>61</v>
      </c>
      <c r="C18" s="6" t="s">
        <v>62</v>
      </c>
      <c r="D18" s="6" t="s">
        <v>28</v>
      </c>
      <c r="E18" s="4" t="s">
        <v>63</v>
      </c>
    </row>
    <row r="19" spans="1:5" x14ac:dyDescent="0.35">
      <c r="A19" s="6" t="s">
        <v>60</v>
      </c>
      <c r="B19" s="6" t="s">
        <v>61</v>
      </c>
      <c r="C19" s="6" t="s">
        <v>62</v>
      </c>
      <c r="D19" s="6" t="s">
        <v>30</v>
      </c>
      <c r="E19" s="4" t="s">
        <v>64</v>
      </c>
    </row>
    <row r="20" spans="1:5" x14ac:dyDescent="0.35">
      <c r="A20" s="6" t="s">
        <v>60</v>
      </c>
      <c r="B20" s="6" t="s">
        <v>61</v>
      </c>
      <c r="C20" s="6" t="s">
        <v>62</v>
      </c>
      <c r="D20" s="6" t="s">
        <v>65</v>
      </c>
      <c r="E20" s="4" t="s">
        <v>66</v>
      </c>
    </row>
    <row r="21" spans="1:5" x14ac:dyDescent="0.35">
      <c r="A21" s="6" t="s">
        <v>60</v>
      </c>
      <c r="B21" s="6" t="s">
        <v>61</v>
      </c>
      <c r="C21" s="6" t="s">
        <v>62</v>
      </c>
      <c r="D21" s="6" t="s">
        <v>67</v>
      </c>
      <c r="E21" s="4" t="s">
        <v>68</v>
      </c>
    </row>
    <row r="22" spans="1:5" x14ac:dyDescent="0.35">
      <c r="A22" s="6" t="s">
        <v>60</v>
      </c>
      <c r="B22" s="6" t="s">
        <v>61</v>
      </c>
      <c r="C22" s="6" t="s">
        <v>62</v>
      </c>
      <c r="D22" s="6" t="s">
        <v>69</v>
      </c>
      <c r="E22" s="4" t="s">
        <v>70</v>
      </c>
    </row>
    <row r="23" spans="1:5" x14ac:dyDescent="0.35">
      <c r="A23" s="6" t="s">
        <v>60</v>
      </c>
      <c r="B23" s="6" t="s">
        <v>61</v>
      </c>
      <c r="C23" s="6" t="s">
        <v>62</v>
      </c>
      <c r="D23" s="6" t="s">
        <v>71</v>
      </c>
      <c r="E23" s="4" t="s">
        <v>72</v>
      </c>
    </row>
    <row r="24" spans="1:5" x14ac:dyDescent="0.35">
      <c r="A24" s="6" t="s">
        <v>60</v>
      </c>
      <c r="B24" s="6" t="s">
        <v>61</v>
      </c>
      <c r="C24" s="6" t="s">
        <v>62</v>
      </c>
      <c r="D24" s="6" t="s">
        <v>73</v>
      </c>
      <c r="E24" s="4" t="s">
        <v>74</v>
      </c>
    </row>
    <row r="25" spans="1:5" x14ac:dyDescent="0.35">
      <c r="A25" s="6" t="s">
        <v>60</v>
      </c>
      <c r="B25" s="6" t="s">
        <v>61</v>
      </c>
      <c r="C25" s="6" t="s">
        <v>62</v>
      </c>
      <c r="D25" s="6" t="s">
        <v>42</v>
      </c>
      <c r="E25" s="4" t="s">
        <v>75</v>
      </c>
    </row>
    <row r="26" spans="1:5" x14ac:dyDescent="0.35">
      <c r="A26" s="6" t="s">
        <v>76</v>
      </c>
      <c r="B26" s="6" t="s">
        <v>77</v>
      </c>
      <c r="C26" s="6" t="s">
        <v>78</v>
      </c>
      <c r="D26" s="6" t="s">
        <v>28</v>
      </c>
      <c r="E26" s="4" t="s">
        <v>79</v>
      </c>
    </row>
    <row r="27" spans="1:5" x14ac:dyDescent="0.35">
      <c r="A27" s="6" t="s">
        <v>76</v>
      </c>
      <c r="B27" s="6" t="s">
        <v>77</v>
      </c>
      <c r="C27" s="6" t="s">
        <v>78</v>
      </c>
      <c r="D27" s="6" t="s">
        <v>30</v>
      </c>
      <c r="E27" s="4" t="s">
        <v>80</v>
      </c>
    </row>
    <row r="28" spans="1:5" x14ac:dyDescent="0.35">
      <c r="A28" s="6" t="s">
        <v>76</v>
      </c>
      <c r="B28" s="6" t="s">
        <v>77</v>
      </c>
      <c r="C28" s="6" t="s">
        <v>78</v>
      </c>
      <c r="D28" s="6" t="s">
        <v>81</v>
      </c>
      <c r="E28" s="4" t="s">
        <v>82</v>
      </c>
    </row>
    <row r="29" spans="1:5" x14ac:dyDescent="0.35">
      <c r="A29" s="6" t="s">
        <v>76</v>
      </c>
      <c r="B29" s="6" t="s">
        <v>77</v>
      </c>
      <c r="C29" s="6" t="s">
        <v>78</v>
      </c>
      <c r="D29" s="6" t="s">
        <v>83</v>
      </c>
      <c r="E29" s="4" t="s">
        <v>84</v>
      </c>
    </row>
    <row r="30" spans="1:5" x14ac:dyDescent="0.35">
      <c r="A30" s="6" t="s">
        <v>76</v>
      </c>
      <c r="B30" s="6" t="s">
        <v>77</v>
      </c>
      <c r="C30" s="6" t="s">
        <v>78</v>
      </c>
      <c r="D30" s="6" t="s">
        <v>85</v>
      </c>
      <c r="E30" s="4" t="s">
        <v>86</v>
      </c>
    </row>
    <row r="31" spans="1:5" x14ac:dyDescent="0.35">
      <c r="A31" s="6" t="s">
        <v>76</v>
      </c>
      <c r="B31" s="6" t="s">
        <v>77</v>
      </c>
      <c r="C31" s="6" t="s">
        <v>78</v>
      </c>
      <c r="D31" s="6" t="s">
        <v>87</v>
      </c>
      <c r="E31" s="4" t="s">
        <v>88</v>
      </c>
    </row>
    <row r="32" spans="1:5" x14ac:dyDescent="0.35">
      <c r="A32" s="6" t="s">
        <v>76</v>
      </c>
      <c r="B32" s="6" t="s">
        <v>77</v>
      </c>
      <c r="C32" s="6" t="s">
        <v>78</v>
      </c>
      <c r="D32" s="6" t="s">
        <v>42</v>
      </c>
      <c r="E32" s="4" t="s">
        <v>89</v>
      </c>
    </row>
    <row r="34" spans="1:1" x14ac:dyDescent="0.35">
      <c r="A34" s="7" t="s">
        <v>90</v>
      </c>
    </row>
  </sheetData>
  <pageMargins left="0.75" right="0.75" top="1" bottom="1" header="0.511811023622047" footer="0.511811023622047"/>
  <pageSetup paperSize="9" orientation="portrait" horizontalDpi="300" verticalDpi="30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B5E3B"/>
  </sheetPr>
  <dimension ref="A1:F19"/>
  <sheetViews>
    <sheetView zoomScaleNormal="100" workbookViewId="0">
      <pane ySplit="1" topLeftCell="A2" activePane="bottomLeft" state="frozen"/>
      <selection pane="bottomLeft"/>
    </sheetView>
  </sheetViews>
  <sheetFormatPr defaultColWidth="8.6328125" defaultRowHeight="14.5" x14ac:dyDescent="0.35"/>
  <cols>
    <col min="1" max="2" width="22" customWidth="1"/>
    <col min="3" max="3" width="24" customWidth="1"/>
    <col min="4" max="4" width="62" customWidth="1"/>
    <col min="5" max="5" width="16" customWidth="1"/>
    <col min="6" max="6" width="14" customWidth="1"/>
  </cols>
  <sheetData>
    <row r="1" spans="1:6" ht="30" customHeight="1" x14ac:dyDescent="0.35">
      <c r="A1" s="5" t="s">
        <v>20</v>
      </c>
      <c r="B1" s="5" t="s">
        <v>91</v>
      </c>
      <c r="C1" s="5" t="s">
        <v>92</v>
      </c>
      <c r="D1" s="5" t="s">
        <v>93</v>
      </c>
      <c r="E1" s="5" t="s">
        <v>94</v>
      </c>
      <c r="F1" s="5" t="s">
        <v>95</v>
      </c>
    </row>
    <row r="2" spans="1:6" x14ac:dyDescent="0.35">
      <c r="A2" s="6" t="s">
        <v>25</v>
      </c>
      <c r="B2" s="6" t="s">
        <v>96</v>
      </c>
      <c r="C2" s="6" t="s">
        <v>97</v>
      </c>
      <c r="D2" s="6" t="s">
        <v>98</v>
      </c>
      <c r="E2" s="6" t="s">
        <v>99</v>
      </c>
      <c r="F2" s="6" t="s">
        <v>100</v>
      </c>
    </row>
    <row r="3" spans="1:6" x14ac:dyDescent="0.35">
      <c r="A3" s="6" t="s">
        <v>25</v>
      </c>
      <c r="B3" s="6" t="s">
        <v>101</v>
      </c>
      <c r="C3" s="6" t="s">
        <v>102</v>
      </c>
      <c r="D3" s="6" t="s">
        <v>103</v>
      </c>
      <c r="E3" s="6" t="s">
        <v>99</v>
      </c>
      <c r="F3" s="6" t="s">
        <v>104</v>
      </c>
    </row>
    <row r="4" spans="1:6" x14ac:dyDescent="0.35">
      <c r="A4" s="6" t="s">
        <v>25</v>
      </c>
      <c r="B4" s="6" t="s">
        <v>105</v>
      </c>
      <c r="C4" s="6" t="s">
        <v>97</v>
      </c>
      <c r="D4" s="6" t="s">
        <v>106</v>
      </c>
      <c r="E4" s="6" t="s">
        <v>99</v>
      </c>
      <c r="F4" s="6" t="s">
        <v>107</v>
      </c>
    </row>
    <row r="5" spans="1:6" x14ac:dyDescent="0.35">
      <c r="A5" s="6" t="s">
        <v>25</v>
      </c>
      <c r="B5" s="6" t="s">
        <v>108</v>
      </c>
      <c r="C5" s="6" t="s">
        <v>97</v>
      </c>
      <c r="D5" s="6" t="s">
        <v>109</v>
      </c>
      <c r="E5" s="6" t="s">
        <v>110</v>
      </c>
      <c r="F5" s="6" t="s">
        <v>111</v>
      </c>
    </row>
    <row r="6" spans="1:6" x14ac:dyDescent="0.35">
      <c r="A6" s="6" t="s">
        <v>44</v>
      </c>
      <c r="B6" s="6" t="s">
        <v>112</v>
      </c>
      <c r="C6" s="6" t="s">
        <v>113</v>
      </c>
      <c r="D6" s="6" t="s">
        <v>114</v>
      </c>
      <c r="E6" s="6" t="s">
        <v>99</v>
      </c>
      <c r="F6" s="6" t="s">
        <v>115</v>
      </c>
    </row>
    <row r="7" spans="1:6" x14ac:dyDescent="0.35">
      <c r="A7" s="6" t="s">
        <v>44</v>
      </c>
      <c r="B7" s="6" t="s">
        <v>116</v>
      </c>
      <c r="C7" s="6" t="s">
        <v>117</v>
      </c>
      <c r="D7" s="6" t="s">
        <v>118</v>
      </c>
      <c r="E7" s="6" t="s">
        <v>99</v>
      </c>
      <c r="F7" s="6" t="s">
        <v>119</v>
      </c>
    </row>
    <row r="8" spans="1:6" x14ac:dyDescent="0.35">
      <c r="A8" s="6" t="s">
        <v>44</v>
      </c>
      <c r="B8" s="6" t="s">
        <v>120</v>
      </c>
      <c r="C8" s="6" t="s">
        <v>113</v>
      </c>
      <c r="D8" s="6" t="s">
        <v>121</v>
      </c>
      <c r="E8" s="6" t="s">
        <v>110</v>
      </c>
      <c r="F8" s="6" t="s">
        <v>122</v>
      </c>
    </row>
    <row r="9" spans="1:6" x14ac:dyDescent="0.35">
      <c r="A9" s="6" t="s">
        <v>44</v>
      </c>
      <c r="B9" s="6" t="s">
        <v>123</v>
      </c>
      <c r="C9" s="6" t="s">
        <v>124</v>
      </c>
      <c r="D9" s="6" t="s">
        <v>125</v>
      </c>
      <c r="E9" s="6" t="s">
        <v>99</v>
      </c>
      <c r="F9" s="6" t="s">
        <v>107</v>
      </c>
    </row>
    <row r="10" spans="1:6" x14ac:dyDescent="0.35">
      <c r="A10" s="6" t="s">
        <v>60</v>
      </c>
      <c r="B10" s="6" t="s">
        <v>126</v>
      </c>
      <c r="C10" s="6" t="s">
        <v>127</v>
      </c>
      <c r="D10" s="6" t="s">
        <v>128</v>
      </c>
      <c r="E10" s="6" t="s">
        <v>99</v>
      </c>
      <c r="F10" s="6" t="s">
        <v>107</v>
      </c>
    </row>
    <row r="11" spans="1:6" x14ac:dyDescent="0.35">
      <c r="A11" s="6" t="s">
        <v>60</v>
      </c>
      <c r="B11" s="6" t="s">
        <v>129</v>
      </c>
      <c r="C11" s="6" t="s">
        <v>127</v>
      </c>
      <c r="D11" s="6" t="s">
        <v>130</v>
      </c>
      <c r="E11" s="6" t="s">
        <v>110</v>
      </c>
      <c r="F11" s="6" t="s">
        <v>111</v>
      </c>
    </row>
    <row r="12" spans="1:6" x14ac:dyDescent="0.35">
      <c r="A12" s="6" t="s">
        <v>60</v>
      </c>
      <c r="B12" s="6" t="s">
        <v>131</v>
      </c>
      <c r="C12" s="6" t="s">
        <v>127</v>
      </c>
      <c r="D12" s="6" t="s">
        <v>132</v>
      </c>
      <c r="E12" s="6" t="s">
        <v>99</v>
      </c>
      <c r="F12" s="6" t="s">
        <v>107</v>
      </c>
    </row>
    <row r="13" spans="1:6" x14ac:dyDescent="0.35">
      <c r="A13" s="6" t="s">
        <v>60</v>
      </c>
      <c r="B13" s="6" t="s">
        <v>133</v>
      </c>
      <c r="C13" s="6" t="s">
        <v>134</v>
      </c>
      <c r="D13" s="6" t="s">
        <v>135</v>
      </c>
      <c r="E13" s="6" t="s">
        <v>99</v>
      </c>
      <c r="F13" s="6" t="s">
        <v>107</v>
      </c>
    </row>
    <row r="14" spans="1:6" x14ac:dyDescent="0.35">
      <c r="A14" s="6" t="s">
        <v>76</v>
      </c>
      <c r="B14" s="6" t="s">
        <v>136</v>
      </c>
      <c r="C14" s="6" t="s">
        <v>137</v>
      </c>
      <c r="D14" s="6" t="s">
        <v>138</v>
      </c>
      <c r="E14" s="6" t="s">
        <v>99</v>
      </c>
      <c r="F14" s="6" t="s">
        <v>107</v>
      </c>
    </row>
    <row r="15" spans="1:6" x14ac:dyDescent="0.35">
      <c r="A15" s="6" t="s">
        <v>76</v>
      </c>
      <c r="B15" s="6" t="s">
        <v>139</v>
      </c>
      <c r="C15" s="6" t="s">
        <v>137</v>
      </c>
      <c r="D15" s="6" t="s">
        <v>140</v>
      </c>
      <c r="E15" s="6" t="s">
        <v>99</v>
      </c>
      <c r="F15" s="6" t="s">
        <v>107</v>
      </c>
    </row>
    <row r="16" spans="1:6" x14ac:dyDescent="0.35">
      <c r="A16" s="6" t="s">
        <v>76</v>
      </c>
      <c r="B16" s="6" t="s">
        <v>141</v>
      </c>
      <c r="C16" s="6" t="s">
        <v>142</v>
      </c>
      <c r="D16" s="6" t="s">
        <v>143</v>
      </c>
      <c r="E16" s="6" t="s">
        <v>99</v>
      </c>
      <c r="F16" s="6" t="s">
        <v>107</v>
      </c>
    </row>
    <row r="17" spans="1:6" x14ac:dyDescent="0.35">
      <c r="A17" s="6" t="s">
        <v>76</v>
      </c>
      <c r="B17" s="6" t="s">
        <v>144</v>
      </c>
      <c r="C17" s="6" t="s">
        <v>137</v>
      </c>
      <c r="D17" s="6" t="s">
        <v>145</v>
      </c>
      <c r="E17" s="6" t="s">
        <v>99</v>
      </c>
      <c r="F17" s="6" t="s">
        <v>115</v>
      </c>
    </row>
    <row r="19" spans="1:6" x14ac:dyDescent="0.35">
      <c r="A19" s="7" t="s">
        <v>146</v>
      </c>
    </row>
  </sheetData>
  <pageMargins left="0.75" right="0.75" top="1" bottom="1" header="0.511811023622047" footer="0.511811023622047"/>
  <pageSetup paperSize="9" orientation="portrait" horizontalDpi="300" verticalDpi="30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B5E3B"/>
  </sheetPr>
  <dimension ref="A1:H70"/>
  <sheetViews>
    <sheetView zoomScaleNormal="100" workbookViewId="0">
      <pane ySplit="1" topLeftCell="A2" activePane="bottomLeft" state="frozen"/>
      <selection pane="bottomLeft"/>
    </sheetView>
  </sheetViews>
  <sheetFormatPr defaultColWidth="8.6328125" defaultRowHeight="14.5" x14ac:dyDescent="0.35"/>
  <cols>
    <col min="1" max="1" width="24" customWidth="1"/>
    <col min="2" max="2" width="34" customWidth="1"/>
    <col min="3" max="3" width="13" customWidth="1"/>
    <col min="4" max="4" width="70" customWidth="1"/>
    <col min="5" max="5" width="11" customWidth="1"/>
    <col min="6" max="7" width="12" customWidth="1"/>
    <col min="8" max="8" width="14" customWidth="1"/>
  </cols>
  <sheetData>
    <row r="1" spans="1:8" ht="30" customHeight="1" x14ac:dyDescent="0.35">
      <c r="A1" s="5" t="s">
        <v>20</v>
      </c>
      <c r="B1" s="5" t="s">
        <v>147</v>
      </c>
      <c r="C1" s="5" t="s">
        <v>148</v>
      </c>
      <c r="D1" s="5" t="s">
        <v>149</v>
      </c>
      <c r="E1" s="5" t="s">
        <v>150</v>
      </c>
      <c r="F1" s="5" t="s">
        <v>151</v>
      </c>
      <c r="G1" s="5" t="s">
        <v>152</v>
      </c>
      <c r="H1" s="5" t="s">
        <v>153</v>
      </c>
    </row>
    <row r="2" spans="1:8" x14ac:dyDescent="0.35">
      <c r="A2" s="6" t="s">
        <v>25</v>
      </c>
      <c r="B2" s="6" t="s">
        <v>154</v>
      </c>
      <c r="C2" s="6" t="s">
        <v>155</v>
      </c>
      <c r="D2" s="6" t="s">
        <v>156</v>
      </c>
      <c r="E2" s="6" t="s">
        <v>157</v>
      </c>
      <c r="F2" s="6" t="s">
        <v>158</v>
      </c>
      <c r="G2" s="6" t="s">
        <v>159</v>
      </c>
      <c r="H2" s="8">
        <v>372341</v>
      </c>
    </row>
    <row r="3" spans="1:8" x14ac:dyDescent="0.35">
      <c r="A3" s="6" t="s">
        <v>25</v>
      </c>
      <c r="B3" s="6" t="s">
        <v>154</v>
      </c>
      <c r="C3" s="6" t="s">
        <v>155</v>
      </c>
      <c r="D3" s="6" t="s">
        <v>26</v>
      </c>
      <c r="E3" s="6"/>
      <c r="F3" s="6" t="s">
        <v>158</v>
      </c>
      <c r="G3" s="6" t="s">
        <v>160</v>
      </c>
      <c r="H3" s="8">
        <v>65949</v>
      </c>
    </row>
    <row r="4" spans="1:8" x14ac:dyDescent="0.35">
      <c r="A4" s="6" t="s">
        <v>25</v>
      </c>
      <c r="B4" s="6" t="s">
        <v>154</v>
      </c>
      <c r="C4" s="6" t="s">
        <v>155</v>
      </c>
      <c r="D4" s="6" t="s">
        <v>161</v>
      </c>
      <c r="E4" s="6"/>
      <c r="F4" s="6" t="s">
        <v>158</v>
      </c>
      <c r="G4" s="6" t="s">
        <v>160</v>
      </c>
      <c r="H4" s="8">
        <v>64759</v>
      </c>
    </row>
    <row r="5" spans="1:8" x14ac:dyDescent="0.35">
      <c r="A5" s="6" t="s">
        <v>25</v>
      </c>
      <c r="B5" s="6" t="s">
        <v>154</v>
      </c>
      <c r="C5" s="6" t="s">
        <v>155</v>
      </c>
      <c r="D5" s="6" t="s">
        <v>162</v>
      </c>
      <c r="E5" s="6"/>
      <c r="F5" s="6" t="s">
        <v>158</v>
      </c>
      <c r="G5" s="6" t="s">
        <v>163</v>
      </c>
      <c r="H5" s="8">
        <v>26594</v>
      </c>
    </row>
    <row r="6" spans="1:8" x14ac:dyDescent="0.35">
      <c r="A6" s="6" t="s">
        <v>25</v>
      </c>
      <c r="B6" s="6" t="s">
        <v>154</v>
      </c>
      <c r="C6" s="6" t="s">
        <v>155</v>
      </c>
      <c r="D6" s="6" t="s">
        <v>164</v>
      </c>
      <c r="E6" s="6"/>
      <c r="F6" s="6" t="s">
        <v>158</v>
      </c>
      <c r="G6" s="6" t="s">
        <v>160</v>
      </c>
      <c r="H6" s="8">
        <v>70933</v>
      </c>
    </row>
    <row r="7" spans="1:8" x14ac:dyDescent="0.35">
      <c r="A7" s="6" t="s">
        <v>25</v>
      </c>
      <c r="B7" s="6" t="s">
        <v>154</v>
      </c>
      <c r="C7" s="6" t="s">
        <v>155</v>
      </c>
      <c r="D7" s="6" t="s">
        <v>165</v>
      </c>
      <c r="E7" s="6"/>
      <c r="F7" s="6" t="s">
        <v>158</v>
      </c>
      <c r="G7" s="6" t="s">
        <v>166</v>
      </c>
      <c r="H7" s="8">
        <v>44366</v>
      </c>
    </row>
    <row r="8" spans="1:8" x14ac:dyDescent="0.35">
      <c r="A8" s="6" t="s">
        <v>25</v>
      </c>
      <c r="B8" s="6" t="s">
        <v>154</v>
      </c>
      <c r="C8" s="6" t="s">
        <v>155</v>
      </c>
      <c r="D8" s="6" t="s">
        <v>167</v>
      </c>
      <c r="E8" s="6"/>
      <c r="F8" s="6" t="s">
        <v>158</v>
      </c>
      <c r="G8" s="6" t="s">
        <v>160</v>
      </c>
      <c r="H8" s="8">
        <v>70834</v>
      </c>
    </row>
    <row r="9" spans="1:8" x14ac:dyDescent="0.35">
      <c r="A9" s="6" t="s">
        <v>25</v>
      </c>
      <c r="B9" s="6" t="s">
        <v>154</v>
      </c>
      <c r="C9" s="6" t="s">
        <v>155</v>
      </c>
      <c r="D9" s="6" t="s">
        <v>168</v>
      </c>
      <c r="E9" s="6"/>
      <c r="F9" s="6" t="s">
        <v>158</v>
      </c>
      <c r="G9" s="6" t="s">
        <v>163</v>
      </c>
      <c r="H9" s="8">
        <v>27502</v>
      </c>
    </row>
    <row r="10" spans="1:8" x14ac:dyDescent="0.35">
      <c r="A10" s="6" t="s">
        <v>25</v>
      </c>
      <c r="B10" s="6" t="s">
        <v>154</v>
      </c>
      <c r="C10" s="6" t="s">
        <v>155</v>
      </c>
      <c r="D10" s="6" t="s">
        <v>169</v>
      </c>
      <c r="E10" s="6"/>
      <c r="F10" s="6" t="s">
        <v>158</v>
      </c>
      <c r="G10" s="6" t="s">
        <v>160</v>
      </c>
      <c r="H10" s="8">
        <v>75493</v>
      </c>
    </row>
    <row r="11" spans="1:8" x14ac:dyDescent="0.35">
      <c r="A11" s="6" t="s">
        <v>25</v>
      </c>
      <c r="B11" s="6" t="s">
        <v>154</v>
      </c>
      <c r="C11" s="6" t="s">
        <v>155</v>
      </c>
      <c r="D11" s="6" t="s">
        <v>170</v>
      </c>
      <c r="E11" s="6"/>
      <c r="F11" s="6" t="s">
        <v>158</v>
      </c>
      <c r="G11" s="6" t="s">
        <v>160</v>
      </c>
      <c r="H11" s="8">
        <v>61317</v>
      </c>
    </row>
    <row r="12" spans="1:8" x14ac:dyDescent="0.35">
      <c r="A12" s="6" t="s">
        <v>25</v>
      </c>
      <c r="B12" s="6" t="s">
        <v>154</v>
      </c>
      <c r="C12" s="6" t="s">
        <v>155</v>
      </c>
      <c r="D12" s="6" t="s">
        <v>171</v>
      </c>
      <c r="E12" s="6"/>
      <c r="F12" s="6" t="s">
        <v>158</v>
      </c>
      <c r="G12" s="6" t="s">
        <v>163</v>
      </c>
      <c r="H12" s="8">
        <v>23383</v>
      </c>
    </row>
    <row r="13" spans="1:8" x14ac:dyDescent="0.35">
      <c r="A13" s="6" t="s">
        <v>25</v>
      </c>
      <c r="B13" s="6" t="s">
        <v>154</v>
      </c>
      <c r="C13" s="6" t="s">
        <v>155</v>
      </c>
      <c r="D13" s="6" t="s">
        <v>172</v>
      </c>
      <c r="E13" s="6"/>
      <c r="F13" s="6" t="s">
        <v>173</v>
      </c>
      <c r="G13" s="6" t="s">
        <v>160</v>
      </c>
      <c r="H13" s="8">
        <v>57205</v>
      </c>
    </row>
    <row r="14" spans="1:8" x14ac:dyDescent="0.35">
      <c r="A14" s="6" t="s">
        <v>25</v>
      </c>
      <c r="B14" s="6" t="s">
        <v>154</v>
      </c>
      <c r="C14" s="6" t="s">
        <v>155</v>
      </c>
      <c r="D14" s="6" t="s">
        <v>174</v>
      </c>
      <c r="E14" s="6"/>
      <c r="F14" s="6" t="s">
        <v>173</v>
      </c>
      <c r="G14" s="6" t="s">
        <v>159</v>
      </c>
      <c r="H14" s="8">
        <v>95048</v>
      </c>
    </row>
    <row r="15" spans="1:8" x14ac:dyDescent="0.35">
      <c r="A15" s="6" t="s">
        <v>25</v>
      </c>
      <c r="B15" s="6" t="s">
        <v>154</v>
      </c>
      <c r="C15" s="6" t="s">
        <v>155</v>
      </c>
      <c r="D15" s="6" t="s">
        <v>175</v>
      </c>
      <c r="E15" s="6"/>
      <c r="F15" s="6" t="s">
        <v>173</v>
      </c>
      <c r="G15" s="6" t="s">
        <v>160</v>
      </c>
      <c r="H15" s="8">
        <v>61299</v>
      </c>
    </row>
    <row r="16" spans="1:8" x14ac:dyDescent="0.35">
      <c r="A16" s="6" t="s">
        <v>25</v>
      </c>
      <c r="B16" s="6" t="s">
        <v>154</v>
      </c>
      <c r="C16" s="6" t="s">
        <v>176</v>
      </c>
      <c r="D16" s="6" t="s">
        <v>177</v>
      </c>
      <c r="E16" s="6"/>
      <c r="F16" s="6" t="s">
        <v>158</v>
      </c>
      <c r="G16" s="6" t="s">
        <v>160</v>
      </c>
      <c r="H16" s="8">
        <v>251338</v>
      </c>
    </row>
    <row r="17" spans="1:8" x14ac:dyDescent="0.35">
      <c r="A17" s="6" t="s">
        <v>25</v>
      </c>
      <c r="B17" s="6" t="s">
        <v>154</v>
      </c>
      <c r="C17" s="6" t="s">
        <v>176</v>
      </c>
      <c r="D17" s="6" t="s">
        <v>178</v>
      </c>
      <c r="E17" s="6"/>
      <c r="F17" s="6" t="s">
        <v>158</v>
      </c>
      <c r="G17" s="6" t="s">
        <v>159</v>
      </c>
      <c r="H17" s="8">
        <v>350001</v>
      </c>
    </row>
    <row r="18" spans="1:8" x14ac:dyDescent="0.35">
      <c r="A18" s="6" t="s">
        <v>25</v>
      </c>
      <c r="B18" s="6" t="s">
        <v>154</v>
      </c>
      <c r="C18" s="6" t="s">
        <v>176</v>
      </c>
      <c r="D18" s="6" t="s">
        <v>179</v>
      </c>
      <c r="E18" s="6"/>
      <c r="F18" s="6" t="s">
        <v>158</v>
      </c>
      <c r="G18" s="6" t="s">
        <v>163</v>
      </c>
      <c r="H18" s="8">
        <v>143343</v>
      </c>
    </row>
    <row r="19" spans="1:8" x14ac:dyDescent="0.35">
      <c r="A19" s="6" t="s">
        <v>44</v>
      </c>
      <c r="B19" s="6" t="s">
        <v>180</v>
      </c>
      <c r="C19" s="6" t="s">
        <v>155</v>
      </c>
      <c r="D19" s="6" t="s">
        <v>181</v>
      </c>
      <c r="E19" s="6" t="s">
        <v>157</v>
      </c>
      <c r="F19" s="6" t="s">
        <v>158</v>
      </c>
      <c r="G19" s="6" t="s">
        <v>163</v>
      </c>
      <c r="H19" s="8">
        <v>255568</v>
      </c>
    </row>
    <row r="20" spans="1:8" x14ac:dyDescent="0.35">
      <c r="A20" s="6" t="s">
        <v>44</v>
      </c>
      <c r="B20" s="6" t="s">
        <v>180</v>
      </c>
      <c r="C20" s="6" t="s">
        <v>155</v>
      </c>
      <c r="D20" s="6" t="s">
        <v>182</v>
      </c>
      <c r="E20" s="6"/>
      <c r="F20" s="6" t="s">
        <v>158</v>
      </c>
      <c r="G20" s="6" t="s">
        <v>160</v>
      </c>
      <c r="H20" s="8">
        <v>46784</v>
      </c>
    </row>
    <row r="21" spans="1:8" x14ac:dyDescent="0.35">
      <c r="A21" s="6" t="s">
        <v>44</v>
      </c>
      <c r="B21" s="6" t="s">
        <v>180</v>
      </c>
      <c r="C21" s="6" t="s">
        <v>155</v>
      </c>
      <c r="D21" s="6" t="s">
        <v>183</v>
      </c>
      <c r="E21" s="6"/>
      <c r="F21" s="6" t="s">
        <v>158</v>
      </c>
      <c r="G21" s="6" t="s">
        <v>166</v>
      </c>
      <c r="H21" s="8">
        <v>27385</v>
      </c>
    </row>
    <row r="22" spans="1:8" x14ac:dyDescent="0.35">
      <c r="A22" s="6" t="s">
        <v>44</v>
      </c>
      <c r="B22" s="6" t="s">
        <v>180</v>
      </c>
      <c r="C22" s="6" t="s">
        <v>155</v>
      </c>
      <c r="D22" s="6" t="s">
        <v>184</v>
      </c>
      <c r="E22" s="6"/>
      <c r="F22" s="6" t="s">
        <v>158</v>
      </c>
      <c r="G22" s="6" t="s">
        <v>160</v>
      </c>
      <c r="H22" s="8">
        <v>44626</v>
      </c>
    </row>
    <row r="23" spans="1:8" x14ac:dyDescent="0.35">
      <c r="A23" s="6" t="s">
        <v>44</v>
      </c>
      <c r="B23" s="6" t="s">
        <v>180</v>
      </c>
      <c r="C23" s="6" t="s">
        <v>155</v>
      </c>
      <c r="D23" s="6" t="s">
        <v>185</v>
      </c>
      <c r="E23" s="6"/>
      <c r="F23" s="6" t="s">
        <v>158</v>
      </c>
      <c r="G23" s="6" t="s">
        <v>163</v>
      </c>
      <c r="H23" s="8">
        <v>18136</v>
      </c>
    </row>
    <row r="24" spans="1:8" x14ac:dyDescent="0.35">
      <c r="A24" s="6" t="s">
        <v>44</v>
      </c>
      <c r="B24" s="6" t="s">
        <v>180</v>
      </c>
      <c r="C24" s="6" t="s">
        <v>155</v>
      </c>
      <c r="D24" s="6" t="s">
        <v>186</v>
      </c>
      <c r="E24" s="6"/>
      <c r="F24" s="6" t="s">
        <v>158</v>
      </c>
      <c r="G24" s="6" t="s">
        <v>160</v>
      </c>
      <c r="H24" s="8">
        <v>67902</v>
      </c>
    </row>
    <row r="25" spans="1:8" x14ac:dyDescent="0.35">
      <c r="A25" s="6" t="s">
        <v>44</v>
      </c>
      <c r="B25" s="6" t="s">
        <v>180</v>
      </c>
      <c r="C25" s="6" t="s">
        <v>155</v>
      </c>
      <c r="D25" s="6" t="s">
        <v>187</v>
      </c>
      <c r="E25" s="6"/>
      <c r="F25" s="6" t="s">
        <v>158</v>
      </c>
      <c r="G25" s="6" t="s">
        <v>160</v>
      </c>
      <c r="H25" s="8">
        <v>38922</v>
      </c>
    </row>
    <row r="26" spans="1:8" x14ac:dyDescent="0.35">
      <c r="A26" s="6" t="s">
        <v>44</v>
      </c>
      <c r="B26" s="6" t="s">
        <v>180</v>
      </c>
      <c r="C26" s="6" t="s">
        <v>155</v>
      </c>
      <c r="D26" s="6" t="s">
        <v>188</v>
      </c>
      <c r="E26" s="6"/>
      <c r="F26" s="6" t="s">
        <v>158</v>
      </c>
      <c r="G26" s="6" t="s">
        <v>163</v>
      </c>
      <c r="H26" s="8">
        <v>16432</v>
      </c>
    </row>
    <row r="27" spans="1:8" x14ac:dyDescent="0.35">
      <c r="A27" s="6" t="s">
        <v>44</v>
      </c>
      <c r="B27" s="6" t="s">
        <v>180</v>
      </c>
      <c r="C27" s="6" t="s">
        <v>155</v>
      </c>
      <c r="D27" s="6" t="s">
        <v>189</v>
      </c>
      <c r="E27" s="6"/>
      <c r="F27" s="6" t="s">
        <v>158</v>
      </c>
      <c r="G27" s="6" t="s">
        <v>159</v>
      </c>
      <c r="H27" s="8">
        <v>68180</v>
      </c>
    </row>
    <row r="28" spans="1:8" x14ac:dyDescent="0.35">
      <c r="A28" s="6" t="s">
        <v>44</v>
      </c>
      <c r="B28" s="6" t="s">
        <v>180</v>
      </c>
      <c r="C28" s="6" t="s">
        <v>155</v>
      </c>
      <c r="D28" s="6" t="s">
        <v>190</v>
      </c>
      <c r="E28" s="6"/>
      <c r="F28" s="6" t="s">
        <v>158</v>
      </c>
      <c r="G28" s="6" t="s">
        <v>160</v>
      </c>
      <c r="H28" s="8">
        <v>42487</v>
      </c>
    </row>
    <row r="29" spans="1:8" x14ac:dyDescent="0.35">
      <c r="A29" s="6" t="s">
        <v>44</v>
      </c>
      <c r="B29" s="6" t="s">
        <v>180</v>
      </c>
      <c r="C29" s="6" t="s">
        <v>155</v>
      </c>
      <c r="D29" s="6" t="s">
        <v>191</v>
      </c>
      <c r="E29" s="6"/>
      <c r="F29" s="6" t="s">
        <v>158</v>
      </c>
      <c r="G29" s="6" t="s">
        <v>160</v>
      </c>
      <c r="H29" s="8">
        <v>39336</v>
      </c>
    </row>
    <row r="30" spans="1:8" x14ac:dyDescent="0.35">
      <c r="A30" s="6" t="s">
        <v>44</v>
      </c>
      <c r="B30" s="6" t="s">
        <v>180</v>
      </c>
      <c r="C30" s="6" t="s">
        <v>155</v>
      </c>
      <c r="D30" s="6" t="s">
        <v>192</v>
      </c>
      <c r="E30" s="6"/>
      <c r="F30" s="6" t="s">
        <v>173</v>
      </c>
      <c r="G30" s="6" t="s">
        <v>160</v>
      </c>
      <c r="H30" s="8">
        <v>46163</v>
      </c>
    </row>
    <row r="31" spans="1:8" x14ac:dyDescent="0.35">
      <c r="A31" s="6" t="s">
        <v>44</v>
      </c>
      <c r="B31" s="6" t="s">
        <v>180</v>
      </c>
      <c r="C31" s="6" t="s">
        <v>155</v>
      </c>
      <c r="D31" s="6" t="s">
        <v>193</v>
      </c>
      <c r="E31" s="6"/>
      <c r="F31" s="6" t="s">
        <v>173</v>
      </c>
      <c r="G31" s="6" t="s">
        <v>160</v>
      </c>
      <c r="H31" s="8">
        <v>54781</v>
      </c>
    </row>
    <row r="32" spans="1:8" x14ac:dyDescent="0.35">
      <c r="A32" s="6" t="s">
        <v>44</v>
      </c>
      <c r="B32" s="6" t="s">
        <v>180</v>
      </c>
      <c r="C32" s="6" t="s">
        <v>176</v>
      </c>
      <c r="D32" s="6" t="s">
        <v>194</v>
      </c>
      <c r="E32" s="6"/>
      <c r="F32" s="6" t="s">
        <v>158</v>
      </c>
      <c r="G32" s="6" t="s">
        <v>159</v>
      </c>
      <c r="H32" s="8">
        <v>240234</v>
      </c>
    </row>
    <row r="33" spans="1:8" x14ac:dyDescent="0.35">
      <c r="A33" s="6" t="s">
        <v>44</v>
      </c>
      <c r="B33" s="6" t="s">
        <v>180</v>
      </c>
      <c r="C33" s="6" t="s">
        <v>176</v>
      </c>
      <c r="D33" s="6" t="s">
        <v>195</v>
      </c>
      <c r="E33" s="6"/>
      <c r="F33" s="6" t="s">
        <v>158</v>
      </c>
      <c r="G33" s="6" t="s">
        <v>163</v>
      </c>
      <c r="H33" s="8">
        <v>25251</v>
      </c>
    </row>
    <row r="34" spans="1:8" x14ac:dyDescent="0.35">
      <c r="A34" s="6" t="s">
        <v>44</v>
      </c>
      <c r="B34" s="6" t="s">
        <v>180</v>
      </c>
      <c r="C34" s="6" t="s">
        <v>176</v>
      </c>
      <c r="D34" s="6" t="s">
        <v>196</v>
      </c>
      <c r="E34" s="6"/>
      <c r="F34" s="6" t="s">
        <v>158</v>
      </c>
      <c r="G34" s="6" t="s">
        <v>160</v>
      </c>
      <c r="H34" s="8">
        <v>94737</v>
      </c>
    </row>
    <row r="35" spans="1:8" x14ac:dyDescent="0.35">
      <c r="A35" s="6" t="s">
        <v>44</v>
      </c>
      <c r="B35" s="6" t="s">
        <v>180</v>
      </c>
      <c r="C35" s="6" t="s">
        <v>176</v>
      </c>
      <c r="D35" s="6" t="s">
        <v>197</v>
      </c>
      <c r="E35" s="6"/>
      <c r="F35" s="6" t="s">
        <v>158</v>
      </c>
      <c r="G35" s="6" t="s">
        <v>159</v>
      </c>
      <c r="H35" s="8">
        <v>150915</v>
      </c>
    </row>
    <row r="36" spans="1:8" x14ac:dyDescent="0.35">
      <c r="A36" s="6" t="s">
        <v>60</v>
      </c>
      <c r="B36" s="6" t="s">
        <v>198</v>
      </c>
      <c r="C36" s="6" t="s">
        <v>155</v>
      </c>
      <c r="D36" s="6" t="s">
        <v>199</v>
      </c>
      <c r="E36" s="6" t="s">
        <v>157</v>
      </c>
      <c r="F36" s="6" t="s">
        <v>158</v>
      </c>
      <c r="G36" s="6" t="s">
        <v>160</v>
      </c>
      <c r="H36" s="8">
        <v>165160</v>
      </c>
    </row>
    <row r="37" spans="1:8" x14ac:dyDescent="0.35">
      <c r="A37" s="6" t="s">
        <v>60</v>
      </c>
      <c r="B37" s="6" t="s">
        <v>198</v>
      </c>
      <c r="C37" s="6" t="s">
        <v>155</v>
      </c>
      <c r="D37" s="6" t="s">
        <v>61</v>
      </c>
      <c r="E37" s="6"/>
      <c r="F37" s="6" t="s">
        <v>158</v>
      </c>
      <c r="G37" s="6" t="s">
        <v>163</v>
      </c>
      <c r="H37" s="8">
        <v>11552</v>
      </c>
    </row>
    <row r="38" spans="1:8" x14ac:dyDescent="0.35">
      <c r="A38" s="6" t="s">
        <v>60</v>
      </c>
      <c r="B38" s="6" t="s">
        <v>198</v>
      </c>
      <c r="C38" s="6" t="s">
        <v>155</v>
      </c>
      <c r="D38" s="6" t="s">
        <v>200</v>
      </c>
      <c r="E38" s="6"/>
      <c r="F38" s="6" t="s">
        <v>158</v>
      </c>
      <c r="G38" s="6" t="s">
        <v>160</v>
      </c>
      <c r="H38" s="8">
        <v>29926</v>
      </c>
    </row>
    <row r="39" spans="1:8" x14ac:dyDescent="0.35">
      <c r="A39" s="6" t="s">
        <v>60</v>
      </c>
      <c r="B39" s="6" t="s">
        <v>198</v>
      </c>
      <c r="C39" s="6" t="s">
        <v>155</v>
      </c>
      <c r="D39" s="6" t="s">
        <v>201</v>
      </c>
      <c r="E39" s="6"/>
      <c r="F39" s="6" t="s">
        <v>158</v>
      </c>
      <c r="G39" s="6" t="s">
        <v>160</v>
      </c>
      <c r="H39" s="8">
        <v>29646</v>
      </c>
    </row>
    <row r="40" spans="1:8" x14ac:dyDescent="0.35">
      <c r="A40" s="6" t="s">
        <v>60</v>
      </c>
      <c r="B40" s="6" t="s">
        <v>198</v>
      </c>
      <c r="C40" s="6" t="s">
        <v>155</v>
      </c>
      <c r="D40" s="6" t="s">
        <v>202</v>
      </c>
      <c r="E40" s="6"/>
      <c r="F40" s="6" t="s">
        <v>158</v>
      </c>
      <c r="G40" s="6" t="s">
        <v>163</v>
      </c>
      <c r="H40" s="8">
        <v>8358</v>
      </c>
    </row>
    <row r="41" spans="1:8" x14ac:dyDescent="0.35">
      <c r="A41" s="6" t="s">
        <v>60</v>
      </c>
      <c r="B41" s="6" t="s">
        <v>198</v>
      </c>
      <c r="C41" s="6" t="s">
        <v>155</v>
      </c>
      <c r="D41" s="6" t="s">
        <v>203</v>
      </c>
      <c r="E41" s="6"/>
      <c r="F41" s="6" t="s">
        <v>158</v>
      </c>
      <c r="G41" s="6" t="s">
        <v>159</v>
      </c>
      <c r="H41" s="8">
        <v>45435</v>
      </c>
    </row>
    <row r="42" spans="1:8" x14ac:dyDescent="0.35">
      <c r="A42" s="6" t="s">
        <v>60</v>
      </c>
      <c r="B42" s="6" t="s">
        <v>198</v>
      </c>
      <c r="C42" s="6" t="s">
        <v>155</v>
      </c>
      <c r="D42" s="6" t="s">
        <v>204</v>
      </c>
      <c r="E42" s="6"/>
      <c r="F42" s="6" t="s">
        <v>158</v>
      </c>
      <c r="G42" s="6" t="s">
        <v>160</v>
      </c>
      <c r="H42" s="8">
        <v>26992</v>
      </c>
    </row>
    <row r="43" spans="1:8" x14ac:dyDescent="0.35">
      <c r="A43" s="6" t="s">
        <v>60</v>
      </c>
      <c r="B43" s="6" t="s">
        <v>198</v>
      </c>
      <c r="C43" s="6" t="s">
        <v>155</v>
      </c>
      <c r="D43" s="6" t="s">
        <v>205</v>
      </c>
      <c r="E43" s="6"/>
      <c r="F43" s="6" t="s">
        <v>158</v>
      </c>
      <c r="G43" s="6" t="s">
        <v>160</v>
      </c>
      <c r="H43" s="8">
        <v>26999</v>
      </c>
    </row>
    <row r="44" spans="1:8" x14ac:dyDescent="0.35">
      <c r="A44" s="6" t="s">
        <v>60</v>
      </c>
      <c r="B44" s="6" t="s">
        <v>198</v>
      </c>
      <c r="C44" s="6" t="s">
        <v>155</v>
      </c>
      <c r="D44" s="6" t="s">
        <v>206</v>
      </c>
      <c r="E44" s="6"/>
      <c r="F44" s="6" t="s">
        <v>158</v>
      </c>
      <c r="G44" s="6" t="s">
        <v>163</v>
      </c>
      <c r="H44" s="8">
        <v>11759</v>
      </c>
    </row>
    <row r="45" spans="1:8" x14ac:dyDescent="0.35">
      <c r="A45" s="6" t="s">
        <v>60</v>
      </c>
      <c r="B45" s="6" t="s">
        <v>198</v>
      </c>
      <c r="C45" s="6" t="s">
        <v>155</v>
      </c>
      <c r="D45" s="6" t="s">
        <v>207</v>
      </c>
      <c r="E45" s="6"/>
      <c r="F45" s="6" t="s">
        <v>158</v>
      </c>
      <c r="G45" s="6" t="s">
        <v>160</v>
      </c>
      <c r="H45" s="8">
        <v>25985</v>
      </c>
    </row>
    <row r="46" spans="1:8" x14ac:dyDescent="0.35">
      <c r="A46" s="6" t="s">
        <v>60</v>
      </c>
      <c r="B46" s="6" t="s">
        <v>198</v>
      </c>
      <c r="C46" s="6" t="s">
        <v>155</v>
      </c>
      <c r="D46" s="6" t="s">
        <v>208</v>
      </c>
      <c r="E46" s="6"/>
      <c r="F46" s="6" t="s">
        <v>158</v>
      </c>
      <c r="G46" s="6" t="s">
        <v>166</v>
      </c>
      <c r="H46" s="8">
        <v>17106</v>
      </c>
    </row>
    <row r="47" spans="1:8" x14ac:dyDescent="0.35">
      <c r="A47" s="6" t="s">
        <v>60</v>
      </c>
      <c r="B47" s="6" t="s">
        <v>198</v>
      </c>
      <c r="C47" s="6" t="s">
        <v>155</v>
      </c>
      <c r="D47" s="6" t="s">
        <v>209</v>
      </c>
      <c r="E47" s="6"/>
      <c r="F47" s="6" t="s">
        <v>173</v>
      </c>
      <c r="G47" s="6" t="s">
        <v>159</v>
      </c>
      <c r="H47" s="8">
        <v>37850</v>
      </c>
    </row>
    <row r="48" spans="1:8" x14ac:dyDescent="0.35">
      <c r="A48" s="6" t="s">
        <v>60</v>
      </c>
      <c r="B48" s="6" t="s">
        <v>198</v>
      </c>
      <c r="C48" s="6" t="s">
        <v>155</v>
      </c>
      <c r="D48" s="6" t="s">
        <v>210</v>
      </c>
      <c r="E48" s="6"/>
      <c r="F48" s="6" t="s">
        <v>173</v>
      </c>
      <c r="G48" s="6" t="s">
        <v>160</v>
      </c>
      <c r="H48" s="8">
        <v>36570</v>
      </c>
    </row>
    <row r="49" spans="1:8" x14ac:dyDescent="0.35">
      <c r="A49" s="6" t="s">
        <v>60</v>
      </c>
      <c r="B49" s="6" t="s">
        <v>198</v>
      </c>
      <c r="C49" s="6" t="s">
        <v>155</v>
      </c>
      <c r="D49" s="6" t="s">
        <v>211</v>
      </c>
      <c r="E49" s="6"/>
      <c r="F49" s="6" t="s">
        <v>173</v>
      </c>
      <c r="G49" s="6" t="s">
        <v>160</v>
      </c>
      <c r="H49" s="8">
        <v>22142</v>
      </c>
    </row>
    <row r="50" spans="1:8" x14ac:dyDescent="0.35">
      <c r="A50" s="6" t="s">
        <v>60</v>
      </c>
      <c r="B50" s="6" t="s">
        <v>198</v>
      </c>
      <c r="C50" s="6" t="s">
        <v>176</v>
      </c>
      <c r="D50" s="6" t="s">
        <v>212</v>
      </c>
      <c r="E50" s="6"/>
      <c r="F50" s="6" t="s">
        <v>158</v>
      </c>
      <c r="G50" s="6" t="s">
        <v>163</v>
      </c>
      <c r="H50" s="8">
        <v>37158</v>
      </c>
    </row>
    <row r="51" spans="1:8" x14ac:dyDescent="0.35">
      <c r="A51" s="6" t="s">
        <v>60</v>
      </c>
      <c r="B51" s="6" t="s">
        <v>198</v>
      </c>
      <c r="C51" s="6" t="s">
        <v>176</v>
      </c>
      <c r="D51" s="6" t="s">
        <v>213</v>
      </c>
      <c r="E51" s="6"/>
      <c r="F51" s="6" t="s">
        <v>158</v>
      </c>
      <c r="G51" s="6" t="s">
        <v>160</v>
      </c>
      <c r="H51" s="8">
        <v>137912</v>
      </c>
    </row>
    <row r="52" spans="1:8" x14ac:dyDescent="0.35">
      <c r="A52" s="6" t="s">
        <v>60</v>
      </c>
      <c r="B52" s="6" t="s">
        <v>198</v>
      </c>
      <c r="C52" s="6" t="s">
        <v>176</v>
      </c>
      <c r="D52" s="6" t="s">
        <v>214</v>
      </c>
      <c r="E52" s="6"/>
      <c r="F52" s="6" t="s">
        <v>158</v>
      </c>
      <c r="G52" s="6" t="s">
        <v>159</v>
      </c>
      <c r="H52" s="8">
        <v>155250</v>
      </c>
    </row>
    <row r="53" spans="1:8" x14ac:dyDescent="0.35">
      <c r="A53" s="6" t="s">
        <v>76</v>
      </c>
      <c r="B53" s="6" t="s">
        <v>215</v>
      </c>
      <c r="C53" s="6" t="s">
        <v>155</v>
      </c>
      <c r="D53" s="6" t="s">
        <v>216</v>
      </c>
      <c r="E53" s="6" t="s">
        <v>157</v>
      </c>
      <c r="F53" s="6" t="s">
        <v>158</v>
      </c>
      <c r="G53" s="6" t="s">
        <v>160</v>
      </c>
      <c r="H53" s="8">
        <v>81681</v>
      </c>
    </row>
    <row r="54" spans="1:8" x14ac:dyDescent="0.35">
      <c r="A54" s="6" t="s">
        <v>76</v>
      </c>
      <c r="B54" s="6" t="s">
        <v>215</v>
      </c>
      <c r="C54" s="6" t="s">
        <v>155</v>
      </c>
      <c r="D54" s="6" t="s">
        <v>77</v>
      </c>
      <c r="E54" s="6"/>
      <c r="F54" s="6" t="s">
        <v>158</v>
      </c>
      <c r="G54" s="6" t="s">
        <v>163</v>
      </c>
      <c r="H54" s="8">
        <v>4677</v>
      </c>
    </row>
    <row r="55" spans="1:8" x14ac:dyDescent="0.35">
      <c r="A55" s="6" t="s">
        <v>76</v>
      </c>
      <c r="B55" s="6" t="s">
        <v>215</v>
      </c>
      <c r="C55" s="6" t="s">
        <v>155</v>
      </c>
      <c r="D55" s="6" t="s">
        <v>217</v>
      </c>
      <c r="E55" s="6"/>
      <c r="F55" s="6" t="s">
        <v>158</v>
      </c>
      <c r="G55" s="6" t="s">
        <v>159</v>
      </c>
      <c r="H55" s="8">
        <v>27596</v>
      </c>
    </row>
    <row r="56" spans="1:8" x14ac:dyDescent="0.35">
      <c r="A56" s="6" t="s">
        <v>76</v>
      </c>
      <c r="B56" s="6" t="s">
        <v>215</v>
      </c>
      <c r="C56" s="6" t="s">
        <v>155</v>
      </c>
      <c r="D56" s="6" t="s">
        <v>218</v>
      </c>
      <c r="E56" s="6"/>
      <c r="F56" s="6" t="s">
        <v>158</v>
      </c>
      <c r="G56" s="6" t="s">
        <v>160</v>
      </c>
      <c r="H56" s="8">
        <v>15465</v>
      </c>
    </row>
    <row r="57" spans="1:8" x14ac:dyDescent="0.35">
      <c r="A57" s="6" t="s">
        <v>76</v>
      </c>
      <c r="B57" s="6" t="s">
        <v>215</v>
      </c>
      <c r="C57" s="6" t="s">
        <v>155</v>
      </c>
      <c r="D57" s="6" t="s">
        <v>219</v>
      </c>
      <c r="E57" s="6"/>
      <c r="F57" s="6" t="s">
        <v>158</v>
      </c>
      <c r="G57" s="6" t="s">
        <v>160</v>
      </c>
      <c r="H57" s="8">
        <v>16461</v>
      </c>
    </row>
    <row r="58" spans="1:8" x14ac:dyDescent="0.35">
      <c r="A58" s="6" t="s">
        <v>76</v>
      </c>
      <c r="B58" s="6" t="s">
        <v>215</v>
      </c>
      <c r="C58" s="6" t="s">
        <v>155</v>
      </c>
      <c r="D58" s="6" t="s">
        <v>220</v>
      </c>
      <c r="E58" s="6"/>
      <c r="F58" s="6" t="s">
        <v>158</v>
      </c>
      <c r="G58" s="6" t="s">
        <v>163</v>
      </c>
      <c r="H58" s="8">
        <v>6206</v>
      </c>
    </row>
    <row r="59" spans="1:8" x14ac:dyDescent="0.35">
      <c r="A59" s="6" t="s">
        <v>76</v>
      </c>
      <c r="B59" s="6" t="s">
        <v>215</v>
      </c>
      <c r="C59" s="6" t="s">
        <v>155</v>
      </c>
      <c r="D59" s="6" t="s">
        <v>221</v>
      </c>
      <c r="E59" s="6"/>
      <c r="F59" s="6" t="s">
        <v>158</v>
      </c>
      <c r="G59" s="6" t="s">
        <v>160</v>
      </c>
      <c r="H59" s="8">
        <v>19694</v>
      </c>
    </row>
    <row r="60" spans="1:8" x14ac:dyDescent="0.35">
      <c r="A60" s="6" t="s">
        <v>76</v>
      </c>
      <c r="B60" s="6" t="s">
        <v>215</v>
      </c>
      <c r="C60" s="6" t="s">
        <v>155</v>
      </c>
      <c r="D60" s="6" t="s">
        <v>222</v>
      </c>
      <c r="E60" s="6"/>
      <c r="F60" s="6" t="s">
        <v>158</v>
      </c>
      <c r="G60" s="6" t="s">
        <v>166</v>
      </c>
      <c r="H60" s="8">
        <v>9066</v>
      </c>
    </row>
    <row r="61" spans="1:8" x14ac:dyDescent="0.35">
      <c r="A61" s="6" t="s">
        <v>76</v>
      </c>
      <c r="B61" s="6" t="s">
        <v>215</v>
      </c>
      <c r="C61" s="6" t="s">
        <v>155</v>
      </c>
      <c r="D61" s="6" t="s">
        <v>223</v>
      </c>
      <c r="E61" s="6"/>
      <c r="F61" s="6" t="s">
        <v>158</v>
      </c>
      <c r="G61" s="6" t="s">
        <v>160</v>
      </c>
      <c r="H61" s="8">
        <v>17217</v>
      </c>
    </row>
    <row r="62" spans="1:8" x14ac:dyDescent="0.35">
      <c r="A62" s="6" t="s">
        <v>76</v>
      </c>
      <c r="B62" s="6" t="s">
        <v>215</v>
      </c>
      <c r="C62" s="6" t="s">
        <v>155</v>
      </c>
      <c r="D62" s="6" t="s">
        <v>224</v>
      </c>
      <c r="E62" s="6"/>
      <c r="F62" s="6" t="s">
        <v>158</v>
      </c>
      <c r="G62" s="6" t="s">
        <v>163</v>
      </c>
      <c r="H62" s="8">
        <v>5839</v>
      </c>
    </row>
    <row r="63" spans="1:8" x14ac:dyDescent="0.35">
      <c r="A63" s="6" t="s">
        <v>76</v>
      </c>
      <c r="B63" s="6" t="s">
        <v>215</v>
      </c>
      <c r="C63" s="6" t="s">
        <v>155</v>
      </c>
      <c r="D63" s="6" t="s">
        <v>225</v>
      </c>
      <c r="E63" s="6"/>
      <c r="F63" s="6" t="s">
        <v>158</v>
      </c>
      <c r="G63" s="6" t="s">
        <v>160</v>
      </c>
      <c r="H63" s="8">
        <v>15709</v>
      </c>
    </row>
    <row r="64" spans="1:8" x14ac:dyDescent="0.35">
      <c r="A64" s="6" t="s">
        <v>76</v>
      </c>
      <c r="B64" s="6" t="s">
        <v>215</v>
      </c>
      <c r="C64" s="6" t="s">
        <v>155</v>
      </c>
      <c r="D64" s="6" t="s">
        <v>226</v>
      </c>
      <c r="E64" s="6"/>
      <c r="F64" s="6" t="s">
        <v>173</v>
      </c>
      <c r="G64" s="6" t="s">
        <v>159</v>
      </c>
      <c r="H64" s="8">
        <v>25431</v>
      </c>
    </row>
    <row r="65" spans="1:8" x14ac:dyDescent="0.35">
      <c r="A65" s="6" t="s">
        <v>76</v>
      </c>
      <c r="B65" s="6" t="s">
        <v>215</v>
      </c>
      <c r="C65" s="6" t="s">
        <v>176</v>
      </c>
      <c r="D65" s="6" t="s">
        <v>227</v>
      </c>
      <c r="E65" s="6"/>
      <c r="F65" s="6" t="s">
        <v>158</v>
      </c>
      <c r="G65" s="6" t="s">
        <v>160</v>
      </c>
      <c r="H65" s="8">
        <v>40369</v>
      </c>
    </row>
    <row r="66" spans="1:8" x14ac:dyDescent="0.35">
      <c r="A66" s="6" t="s">
        <v>76</v>
      </c>
      <c r="B66" s="6" t="s">
        <v>215</v>
      </c>
      <c r="C66" s="6" t="s">
        <v>176</v>
      </c>
      <c r="D66" s="6" t="s">
        <v>228</v>
      </c>
      <c r="E66" s="6"/>
      <c r="F66" s="6" t="s">
        <v>158</v>
      </c>
      <c r="G66" s="6" t="s">
        <v>159</v>
      </c>
      <c r="H66" s="8">
        <v>67208</v>
      </c>
    </row>
    <row r="67" spans="1:8" x14ac:dyDescent="0.35">
      <c r="A67" s="6" t="s">
        <v>76</v>
      </c>
      <c r="B67" s="6" t="s">
        <v>215</v>
      </c>
      <c r="C67" s="6" t="s">
        <v>176</v>
      </c>
      <c r="D67" s="6" t="s">
        <v>229</v>
      </c>
      <c r="E67" s="6"/>
      <c r="F67" s="6" t="s">
        <v>158</v>
      </c>
      <c r="G67" s="6" t="s">
        <v>163</v>
      </c>
      <c r="H67" s="8">
        <v>14619</v>
      </c>
    </row>
    <row r="68" spans="1:8" x14ac:dyDescent="0.35">
      <c r="A68" s="6" t="s">
        <v>76</v>
      </c>
      <c r="B68" s="6" t="s">
        <v>215</v>
      </c>
      <c r="C68" s="6" t="s">
        <v>176</v>
      </c>
      <c r="D68" s="6" t="s">
        <v>230</v>
      </c>
      <c r="E68" s="6"/>
      <c r="F68" s="6" t="s">
        <v>173</v>
      </c>
      <c r="G68" s="6" t="s">
        <v>160</v>
      </c>
      <c r="H68" s="8">
        <v>41166</v>
      </c>
    </row>
    <row r="70" spans="1:8" x14ac:dyDescent="0.35">
      <c r="A70" s="7" t="s">
        <v>231</v>
      </c>
    </row>
  </sheetData>
  <pageMargins left="0.75" right="0.75" top="1" bottom="1" header="0.511811023622047" footer="0.511811023622047"/>
  <pageSetup paperSize="9" orientation="portrait" horizontalDpi="300" verticalDpi="300"/>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B5E3B"/>
  </sheetPr>
  <dimension ref="A1:I11"/>
  <sheetViews>
    <sheetView zoomScaleNormal="100" workbookViewId="0"/>
  </sheetViews>
  <sheetFormatPr defaultColWidth="8.6328125" defaultRowHeight="14.5" x14ac:dyDescent="0.35"/>
  <cols>
    <col min="1" max="1" width="24" customWidth="1"/>
    <col min="2" max="2" width="48" customWidth="1"/>
    <col min="3" max="3" width="16" customWidth="1"/>
    <col min="4" max="4" width="72" customWidth="1"/>
    <col min="5" max="5" width="14" customWidth="1"/>
    <col min="6" max="6" width="11" customWidth="1"/>
    <col min="7" max="7" width="13" customWidth="1"/>
    <col min="8" max="8" width="30" customWidth="1"/>
    <col min="9" max="9" width="16" customWidth="1"/>
  </cols>
  <sheetData>
    <row r="1" spans="1:9" ht="30" customHeight="1" x14ac:dyDescent="0.35">
      <c r="A1" s="5" t="s">
        <v>20</v>
      </c>
      <c r="B1" s="5" t="s">
        <v>232</v>
      </c>
      <c r="C1" s="5" t="s">
        <v>233</v>
      </c>
      <c r="D1" s="5" t="s">
        <v>234</v>
      </c>
      <c r="E1" s="5" t="s">
        <v>153</v>
      </c>
      <c r="F1" s="5" t="s">
        <v>235</v>
      </c>
      <c r="G1" s="5" t="s">
        <v>236</v>
      </c>
      <c r="H1" s="5" t="s">
        <v>237</v>
      </c>
      <c r="I1" s="5" t="s">
        <v>238</v>
      </c>
    </row>
    <row r="2" spans="1:9" x14ac:dyDescent="0.35">
      <c r="A2" s="6" t="s">
        <v>25</v>
      </c>
      <c r="B2" s="6" t="s">
        <v>239</v>
      </c>
      <c r="C2" s="6" t="s">
        <v>240</v>
      </c>
      <c r="D2" s="6" t="s">
        <v>156</v>
      </c>
      <c r="E2" s="8">
        <v>87300</v>
      </c>
      <c r="F2" s="8">
        <v>4580</v>
      </c>
      <c r="G2" s="8">
        <v>877</v>
      </c>
      <c r="H2" s="9">
        <v>42.95</v>
      </c>
      <c r="I2" s="9">
        <v>7.79</v>
      </c>
    </row>
    <row r="3" spans="1:9" x14ac:dyDescent="0.35">
      <c r="A3" s="6" t="s">
        <v>25</v>
      </c>
      <c r="B3" s="6" t="s">
        <v>239</v>
      </c>
      <c r="C3" s="6" t="s">
        <v>241</v>
      </c>
      <c r="D3" s="6" t="s">
        <v>242</v>
      </c>
      <c r="E3" s="8">
        <v>86300</v>
      </c>
      <c r="F3" s="8">
        <v>5297</v>
      </c>
      <c r="G3" s="8">
        <v>842</v>
      </c>
      <c r="H3" s="9">
        <v>42.95</v>
      </c>
      <c r="I3" s="9">
        <v>7.79</v>
      </c>
    </row>
    <row r="4" spans="1:9" x14ac:dyDescent="0.35">
      <c r="A4" s="6" t="s">
        <v>44</v>
      </c>
      <c r="B4" s="6" t="s">
        <v>243</v>
      </c>
      <c r="C4" s="6" t="s">
        <v>240</v>
      </c>
      <c r="D4" s="6" t="s">
        <v>197</v>
      </c>
      <c r="E4" s="8">
        <v>53900</v>
      </c>
      <c r="F4" s="8">
        <v>2307</v>
      </c>
      <c r="G4" s="8">
        <v>688</v>
      </c>
      <c r="H4" s="9">
        <v>22.38</v>
      </c>
      <c r="I4" s="9">
        <v>6.07</v>
      </c>
    </row>
    <row r="5" spans="1:9" x14ac:dyDescent="0.35">
      <c r="A5" s="6" t="s">
        <v>44</v>
      </c>
      <c r="B5" s="6" t="s">
        <v>243</v>
      </c>
      <c r="C5" s="6" t="s">
        <v>241</v>
      </c>
      <c r="D5" s="6" t="s">
        <v>244</v>
      </c>
      <c r="E5" s="8">
        <v>54500</v>
      </c>
      <c r="F5" s="8">
        <v>2566</v>
      </c>
      <c r="G5" s="8">
        <v>849</v>
      </c>
      <c r="H5" s="9">
        <v>22.38</v>
      </c>
      <c r="I5" s="9">
        <v>6.07</v>
      </c>
    </row>
    <row r="6" spans="1:9" x14ac:dyDescent="0.35">
      <c r="A6" s="6" t="s">
        <v>60</v>
      </c>
      <c r="B6" s="6" t="s">
        <v>245</v>
      </c>
      <c r="C6" s="6" t="s">
        <v>240</v>
      </c>
      <c r="D6" s="6" t="s">
        <v>199</v>
      </c>
      <c r="E6" s="8">
        <v>36900</v>
      </c>
      <c r="F6" s="8">
        <v>2542</v>
      </c>
      <c r="G6" s="8">
        <v>638</v>
      </c>
      <c r="H6" s="9">
        <v>21</v>
      </c>
      <c r="I6" s="9">
        <v>3.2</v>
      </c>
    </row>
    <row r="7" spans="1:9" x14ac:dyDescent="0.35">
      <c r="A7" s="6" t="s">
        <v>60</v>
      </c>
      <c r="B7" s="6" t="s">
        <v>245</v>
      </c>
      <c r="C7" s="6" t="s">
        <v>241</v>
      </c>
      <c r="D7" s="6" t="s">
        <v>246</v>
      </c>
      <c r="E7" s="8">
        <v>37300</v>
      </c>
      <c r="F7" s="8">
        <v>2608</v>
      </c>
      <c r="G7" s="8">
        <v>661</v>
      </c>
      <c r="H7" s="9">
        <v>21</v>
      </c>
      <c r="I7" s="9">
        <v>3.2</v>
      </c>
    </row>
    <row r="8" spans="1:9" x14ac:dyDescent="0.35">
      <c r="A8" s="6" t="s">
        <v>76</v>
      </c>
      <c r="B8" s="6" t="s">
        <v>247</v>
      </c>
      <c r="C8" s="6" t="s">
        <v>240</v>
      </c>
      <c r="D8" s="6" t="s">
        <v>216</v>
      </c>
      <c r="E8" s="8">
        <v>18300</v>
      </c>
      <c r="F8" s="8">
        <v>746</v>
      </c>
      <c r="G8" s="8">
        <v>129</v>
      </c>
      <c r="H8" s="9">
        <v>67.45</v>
      </c>
      <c r="I8" s="9">
        <v>11.98</v>
      </c>
    </row>
    <row r="9" spans="1:9" x14ac:dyDescent="0.35">
      <c r="A9" s="6" t="s">
        <v>76</v>
      </c>
      <c r="B9" s="6" t="s">
        <v>247</v>
      </c>
      <c r="C9" s="6" t="s">
        <v>241</v>
      </c>
      <c r="D9" s="6" t="s">
        <v>248</v>
      </c>
      <c r="E9" s="8">
        <v>18200</v>
      </c>
      <c r="F9" s="8">
        <v>831</v>
      </c>
      <c r="G9" s="8">
        <v>109</v>
      </c>
      <c r="H9" s="9">
        <v>67.45</v>
      </c>
      <c r="I9" s="9">
        <v>11.98</v>
      </c>
    </row>
    <row r="11" spans="1:9" x14ac:dyDescent="0.35">
      <c r="A11" s="7" t="s">
        <v>249</v>
      </c>
    </row>
  </sheetData>
  <pageMargins left="0.75" right="0.75" top="1" bottom="1" header="0.511811023622047" footer="0.511811023622047"/>
  <pageSetup paperSize="9" orientation="portrait" horizontalDpi="300" verticalDpi="300"/>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B5E3B"/>
  </sheetPr>
  <dimension ref="A1:C16"/>
  <sheetViews>
    <sheetView showGridLines="0" zoomScaleNormal="100" workbookViewId="0"/>
  </sheetViews>
  <sheetFormatPr defaultColWidth="8.6328125" defaultRowHeight="14.5" x14ac:dyDescent="0.35"/>
  <cols>
    <col min="1" max="1" width="38" customWidth="1"/>
    <col min="2" max="3" width="16" customWidth="1"/>
  </cols>
  <sheetData>
    <row r="1" spans="1:3" ht="20" x14ac:dyDescent="0.4">
      <c r="A1" s="1" t="s">
        <v>250</v>
      </c>
    </row>
    <row r="2" spans="1:3" x14ac:dyDescent="0.35">
      <c r="A2" s="7" t="s">
        <v>251</v>
      </c>
    </row>
    <row r="4" spans="1:3" x14ac:dyDescent="0.35">
      <c r="A4" s="10"/>
      <c r="B4" s="10" t="s">
        <v>240</v>
      </c>
      <c r="C4" s="10" t="s">
        <v>241</v>
      </c>
    </row>
    <row r="5" spans="1:3" x14ac:dyDescent="0.35">
      <c r="A5" s="11" t="s">
        <v>153</v>
      </c>
      <c r="B5" s="12"/>
      <c r="C5" s="12"/>
    </row>
    <row r="6" spans="1:3" x14ac:dyDescent="0.35">
      <c r="A6" s="11" t="s">
        <v>235</v>
      </c>
      <c r="B6" s="12"/>
      <c r="C6" s="12"/>
    </row>
    <row r="7" spans="1:3" x14ac:dyDescent="0.35">
      <c r="A7" s="11" t="s">
        <v>236</v>
      </c>
      <c r="B7" s="12"/>
      <c r="C7" s="12"/>
    </row>
    <row r="9" spans="1:3" x14ac:dyDescent="0.35">
      <c r="A9" s="11" t="s">
        <v>252</v>
      </c>
      <c r="B9" s="13" t="str">
        <f>IF(COUNT($B$5:$C$7)=6,B6/B5,"")</f>
        <v/>
      </c>
      <c r="C9" s="13" t="str">
        <f>IF(COUNT($B$5:$C$7)=6,C6/C5,"")</f>
        <v/>
      </c>
    </row>
    <row r="10" spans="1:3" x14ac:dyDescent="0.35">
      <c r="A10" s="11" t="s">
        <v>253</v>
      </c>
      <c r="B10" s="13" t="str">
        <f>IF(COUNT($B$5:$C$7)=6,B7/B6,"")</f>
        <v/>
      </c>
      <c r="C10" s="13" t="str">
        <f>IF(COUNT($B$5:$C$7)=6,C7/C6,"")</f>
        <v/>
      </c>
    </row>
    <row r="11" spans="1:3" x14ac:dyDescent="0.35">
      <c r="A11" s="11" t="s">
        <v>254</v>
      </c>
      <c r="C11" s="14" t="str">
        <f>IF(COUNT($B$5:$C$7)=6,(C6/C5-B6/B5)/SQRT(((B6+C6)/(B5+C5))*(1-(B6+C6)/(B5+C5))*(1/B5+1/C5)),"")</f>
        <v/>
      </c>
    </row>
    <row r="12" spans="1:3" x14ac:dyDescent="0.35">
      <c r="A12" s="11" t="s">
        <v>255</v>
      </c>
      <c r="C12" s="15" t="str">
        <f>IF(COUNT($B$5:$C$7)=6,2*(1-NORMSDIST(ABS(C11))),"")</f>
        <v/>
      </c>
    </row>
    <row r="13" spans="1:3" x14ac:dyDescent="0.35">
      <c r="A13" s="11" t="s">
        <v>256</v>
      </c>
      <c r="C13" s="14" t="str">
        <f>IF(COUNT($B$5:$C$7)=6,(C7/C6-B7/B6)/SQRT(((B7+C7)/(B6+C6))*(1-(B7+C7)/(B6+C6))*(1/B6+1/C6)),"")</f>
        <v/>
      </c>
    </row>
    <row r="14" spans="1:3" x14ac:dyDescent="0.35">
      <c r="A14" s="11" t="s">
        <v>257</v>
      </c>
      <c r="C14" s="15" t="str">
        <f>IF(COUNT($B$5:$C$7)=6,2*(1-NORMSDIST(ABS(C13))),"")</f>
        <v/>
      </c>
    </row>
    <row r="16" spans="1:3" x14ac:dyDescent="0.35">
      <c r="A16" s="7" t="s">
        <v>258</v>
      </c>
    </row>
  </sheetData>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1B5E3B"/>
  </sheetPr>
  <dimension ref="A1:D16"/>
  <sheetViews>
    <sheetView tabSelected="1" zoomScaleNormal="100" workbookViewId="0">
      <selection activeCell="C2" sqref="C2"/>
    </sheetView>
  </sheetViews>
  <sheetFormatPr defaultColWidth="8.6328125" defaultRowHeight="14.5" x14ac:dyDescent="0.35"/>
  <cols>
    <col min="1" max="1" width="6" customWidth="1"/>
    <col min="2" max="2" width="24" customWidth="1"/>
    <col min="3" max="3" width="46" customWidth="1"/>
    <col min="4" max="4" width="90" customWidth="1"/>
  </cols>
  <sheetData>
    <row r="1" spans="1:4" ht="30" customHeight="1" x14ac:dyDescent="0.35">
      <c r="A1" s="5" t="s">
        <v>259</v>
      </c>
      <c r="B1" s="5" t="s">
        <v>20</v>
      </c>
      <c r="C1" s="5" t="s">
        <v>155</v>
      </c>
      <c r="D1" s="5" t="s">
        <v>176</v>
      </c>
    </row>
    <row r="2" spans="1:4" x14ac:dyDescent="0.35">
      <c r="A2" s="6">
        <v>1</v>
      </c>
      <c r="B2" s="6" t="s">
        <v>25</v>
      </c>
      <c r="C2" s="6" t="s">
        <v>26</v>
      </c>
      <c r="D2" s="6" t="s">
        <v>177</v>
      </c>
    </row>
    <row r="3" spans="1:4" x14ac:dyDescent="0.35">
      <c r="A3" s="6">
        <v>2</v>
      </c>
      <c r="B3" s="6" t="s">
        <v>25</v>
      </c>
      <c r="C3" s="6" t="s">
        <v>260</v>
      </c>
      <c r="D3" s="6" t="s">
        <v>261</v>
      </c>
    </row>
    <row r="4" spans="1:4" x14ac:dyDescent="0.35">
      <c r="A4" s="6">
        <v>3</v>
      </c>
      <c r="B4" s="6" t="s">
        <v>25</v>
      </c>
      <c r="C4" s="6" t="s">
        <v>262</v>
      </c>
      <c r="D4" s="6" t="s">
        <v>263</v>
      </c>
    </row>
    <row r="5" spans="1:4" x14ac:dyDescent="0.35">
      <c r="A5" s="6">
        <v>4</v>
      </c>
      <c r="B5" s="6" t="s">
        <v>25</v>
      </c>
      <c r="C5" s="6" t="s">
        <v>264</v>
      </c>
      <c r="D5" s="6" t="s">
        <v>265</v>
      </c>
    </row>
    <row r="6" spans="1:4" x14ac:dyDescent="0.35">
      <c r="A6" s="6">
        <v>5</v>
      </c>
      <c r="B6" s="6" t="s">
        <v>44</v>
      </c>
      <c r="C6" s="6" t="s">
        <v>181</v>
      </c>
      <c r="D6" s="6" t="s">
        <v>196</v>
      </c>
    </row>
    <row r="7" spans="1:4" x14ac:dyDescent="0.35">
      <c r="A7" s="6">
        <v>6</v>
      </c>
      <c r="B7" s="6" t="s">
        <v>44</v>
      </c>
      <c r="C7" s="6" t="s">
        <v>266</v>
      </c>
      <c r="D7" s="6" t="s">
        <v>267</v>
      </c>
    </row>
    <row r="8" spans="1:4" x14ac:dyDescent="0.35">
      <c r="A8" s="6">
        <v>7</v>
      </c>
      <c r="B8" s="6" t="s">
        <v>76</v>
      </c>
      <c r="C8" s="6" t="s">
        <v>268</v>
      </c>
      <c r="D8" s="6" t="s">
        <v>227</v>
      </c>
    </row>
    <row r="9" spans="1:4" x14ac:dyDescent="0.35">
      <c r="A9" s="6">
        <v>8</v>
      </c>
      <c r="B9" s="6" t="s">
        <v>25</v>
      </c>
      <c r="C9" s="6" t="s">
        <v>269</v>
      </c>
      <c r="D9" s="6" t="s">
        <v>270</v>
      </c>
    </row>
    <row r="10" spans="1:4" x14ac:dyDescent="0.35">
      <c r="A10" s="6">
        <v>9</v>
      </c>
      <c r="B10" s="6" t="s">
        <v>25</v>
      </c>
      <c r="C10" s="6" t="s">
        <v>271</v>
      </c>
      <c r="D10" s="6" t="s">
        <v>272</v>
      </c>
    </row>
    <row r="11" spans="1:4" x14ac:dyDescent="0.35">
      <c r="A11" s="6">
        <v>10</v>
      </c>
      <c r="B11" s="6" t="s">
        <v>25</v>
      </c>
      <c r="C11" s="6" t="s">
        <v>273</v>
      </c>
      <c r="D11" s="6" t="s">
        <v>274</v>
      </c>
    </row>
    <row r="12" spans="1:4" x14ac:dyDescent="0.35">
      <c r="A12" s="6">
        <v>11</v>
      </c>
      <c r="B12" s="6" t="s">
        <v>60</v>
      </c>
      <c r="C12" s="6" t="s">
        <v>275</v>
      </c>
      <c r="D12" s="6" t="s">
        <v>276</v>
      </c>
    </row>
    <row r="13" spans="1:4" x14ac:dyDescent="0.35">
      <c r="A13" s="6">
        <v>12</v>
      </c>
      <c r="B13" s="6" t="s">
        <v>25</v>
      </c>
      <c r="C13" s="6" t="s">
        <v>277</v>
      </c>
      <c r="D13" s="6" t="s">
        <v>278</v>
      </c>
    </row>
    <row r="14" spans="1:4" x14ac:dyDescent="0.35">
      <c r="A14" s="6">
        <v>13</v>
      </c>
      <c r="B14" s="6" t="s">
        <v>44</v>
      </c>
      <c r="C14" s="6" t="s">
        <v>279</v>
      </c>
      <c r="D14" s="6" t="s">
        <v>280</v>
      </c>
    </row>
    <row r="16" spans="1:4" x14ac:dyDescent="0.35">
      <c r="A16" s="7" t="s">
        <v>281</v>
      </c>
    </row>
  </sheetData>
  <pageMargins left="0.75" right="0.75" top="1" bottom="1" header="0.511811023622047" footer="0.511811023622047"/>
  <pageSetup paperSize="9" orientation="portrait" horizontalDpi="300" verticalDpi="300"/>
  <tableParts count="1">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7</vt:i4>
      </vt:variant>
    </vt:vector>
  </HeadingPairs>
  <TitlesOfParts>
    <vt:vector size="7" baseType="lpstr">
      <vt:lpstr>Read me</vt:lpstr>
      <vt:lpstr>Landing pages</vt:lpstr>
      <vt:lpstr>Partner offers</vt:lpstr>
      <vt:lpstr>RSA assets</vt:lpstr>
      <vt:lpstr>A-B tests</vt:lpstr>
      <vt:lpstr>Significance helper</vt:lpstr>
      <vt:lpstr>AI draft ads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Dr. Sridevi Tandley</cp:lastModifiedBy>
  <cp:revision>0</cp:revision>
  <dcterms:created xsi:type="dcterms:W3CDTF">2026-10-01T08:01:15Z</dcterms:created>
  <dcterms:modified xsi:type="dcterms:W3CDTF">2026-10-04T02:40:22Z</dcterms:modified>
  <dc:language>en-US</dc:language>
</cp:coreProperties>
</file>
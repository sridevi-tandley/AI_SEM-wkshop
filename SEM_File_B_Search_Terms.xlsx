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shops\Forbes_SEM_wkshp_Oct26\Pre_Final\SEM_Workshop_Materials\1_Pre_workshop\Teaching_materials\"/>
    </mc:Choice>
  </mc:AlternateContent>
  <xr:revisionPtr revIDLastSave="0" documentId="13_ncr:1_{290950E7-F73B-4C45-9845-18E416154A78}" xr6:coauthVersionLast="47" xr6:coauthVersionMax="47" xr10:uidLastSave="{00000000-0000-0000-0000-000000000000}"/>
  <bookViews>
    <workbookView xWindow="-110" yWindow="-110" windowWidth="19420" windowHeight="10420" tabRatio="500" xr2:uid="{00000000-000D-0000-FFFF-FFFF00000000}"/>
  </bookViews>
  <sheets>
    <sheet name="Read me" sheetId="1" r:id="rId1"/>
    <sheet name="Search terms" sheetId="2" r:id="rId2"/>
    <sheet name="My negatives" sheetId="3" r:id="rId3"/>
    <sheet name="Existing negative list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5" i="3" l="1"/>
  <c r="E24" i="3"/>
  <c r="E23" i="3"/>
  <c r="E22" i="3"/>
  <c r="E21" i="3"/>
  <c r="E20" i="3"/>
  <c r="E19" i="3"/>
  <c r="E18" i="3"/>
  <c r="E17" i="3"/>
  <c r="E16" i="3"/>
  <c r="E15" i="3"/>
  <c r="E14" i="3"/>
  <c r="E13" i="3"/>
  <c r="E12" i="3"/>
  <c r="E11" i="3"/>
  <c r="E10" i="3"/>
  <c r="E9" i="3"/>
  <c r="E8" i="3"/>
  <c r="E7" i="3"/>
  <c r="E6" i="3"/>
  <c r="E5" i="3"/>
</calcChain>
</file>

<file path=xl/sharedStrings.xml><?xml version="1.0" encoding="utf-8"?>
<sst xmlns="http://schemas.openxmlformats.org/spreadsheetml/2006/main" count="1684" uniqueCount="489">
  <si>
    <t>File B · Search terms report (1–27 Sep 2026)</t>
  </si>
  <si>
    <t>Synthetic training data created for this workshop. It is NOT Forbes Advisor data. Brand, lender, insurer, software and competitor names are fictional; competitor domains use the reserved .example suffix.</t>
  </si>
  <si>
    <t>What is in this file</t>
  </si>
  <si>
    <t>The September search terms report for all four campaigns. Match type "AI Max" marks terms matched by AI Max for Search (from September 2026, Google is upgrading Search campaigns that use campaign-level broad match or automatically created assets to AI Max). Low-volume terms Google does not show are excluded, so totals are about 85% of campaign spend.</t>
  </si>
  <si>
    <t>Your task (Module 3, Lab 3a: Search-term mining)</t>
  </si>
  <si>
    <t>Filter to your team's campaign. Three steps, one hand-in. 1) Label each term by intent with Copilot (Allow editing, prompt P08): Core (on-product, including research about choosing, pricing or eligibility), Winner to add, Informational, Off-product, Navigational (existing customers), Policy or brand risk, Competitor. 2) Total the wasted spend and make Copilot show the formula (P09); Team Loans also notes the revenue those wasted terms earned (needed in the Budget War Room). 3) Name your top negative theme and check it does not block buyers (P03, then P27 against the existing lists). Hand in two things: wasted spend ($ and % of cost) and your top negative theme.</t>
  </si>
  <si>
    <t>If you finish early (not scored): list "Winner to add" terms (an AI Max- or broad-matched term that is not yet a keyword, with 5+ click-outs and ROAS at or above your target) and compare AI Max terms with keyword-matched terms (P10).</t>
  </si>
  <si>
    <t>What counts as wasted spend</t>
  </si>
  <si>
    <t>Count as waste: Informational (definitions and how-it-works questions), Off-product (other products or jobs), Navigational (existing customers of a partner: login, payments, support) and Policy or brand risk. Research about choosing, pricing or eligibility is buyer intent: keep it. Competitor terms are a separate decision: judge them on ROAS, and do not count them as waste.</t>
  </si>
  <si>
    <t>Record negatives in the "My negatives" sheet. The yellow row is an example and a real negative: keep it or replace it. Column E counts a term as blocked when it contains the negative as whole words, like a phrase-match negative; read the matched terms before you trust the total. "Existing negative lists" shows the account's shared lists: check a new negative against them first (prompt P27).</t>
  </si>
  <si>
    <t>Watch out: a term with zero click-outs is not the only kind of waste, a term that converts can still need excluding for policy or brand reasons, and a negative theme such as "how to" can block buyers.</t>
  </si>
  <si>
    <t>Metric definitions</t>
  </si>
  <si>
    <t>Click-outs = clicks from the comparison page to a partner offer (the conversion we optimise). Revenue = partner commission earned (USD).</t>
  </si>
  <si>
    <t>CTR = Clicks / Impressions · CPC = Cost / Clicks · Click-out rate = Click-outs / Clicks · RPC (revenue per click) = Revenue / Clicks</t>
  </si>
  <si>
    <t>ROAS = Revenue / Cost (1.20 means $1.20 back for every $1 spent) · Profit = Revenue − Cost</t>
  </si>
  <si>
    <t>Target ROAS by vertical: Personal Loans 1.20 · Credit Cards 1.25 · Pet Insurance 1.30 · Business Software (CRM) 1.25</t>
  </si>
  <si>
    <t>Working with Microsoft 365 Copilot in Excel (checked 28 Sep 2026)</t>
  </si>
  <si>
    <t>1. Open Copilot with the Copilot button at the bottom right of the sheet (some versions also show it on the Home tab).</t>
  </si>
  <si>
    <t>2. Pick the mode before you type. "Chat only" answers questions without changing the file. "Allow editing" (the default; this is Edit with Copilot, formerly Agent Mode) adds columns, formulas, PivotTables or charts. "Plan" shows the steps before it edits.</t>
  </si>
  <si>
    <t>3. The data is already an Excel table with one header row, which Copilot reads best. Saving to your team folder on OneDrive is recommended for sharing and AutoSave; Copilot also works on local files.</t>
  </si>
  <si>
    <t>4. Check before you trust: ask Copilot to show the formula it used, recompute one number yourself, and confirm totals match the source table.</t>
  </si>
  <si>
    <t>Search term</t>
  </si>
  <si>
    <t>Campaign</t>
  </si>
  <si>
    <t>Ad group</t>
  </si>
  <si>
    <t>Match type</t>
  </si>
  <si>
    <t>Impressions</t>
  </si>
  <si>
    <t>Clicks</t>
  </si>
  <si>
    <t>Cost (USD)</t>
  </si>
  <si>
    <t>Click-outs</t>
  </si>
  <si>
    <t>Revenue (USD)</t>
  </si>
  <si>
    <t>crm software</t>
  </si>
  <si>
    <t>US | Business Software | CRM</t>
  </si>
  <si>
    <t>CRM - Generic</t>
  </si>
  <si>
    <t>Phrase match</t>
  </si>
  <si>
    <t>best crm tools</t>
  </si>
  <si>
    <t>CRM Comparison</t>
  </si>
  <si>
    <t>Exact match</t>
  </si>
  <si>
    <t>crm comparison</t>
  </si>
  <si>
    <t>best crm platforms</t>
  </si>
  <si>
    <t>compare crm software</t>
  </si>
  <si>
    <t>crm solutions</t>
  </si>
  <si>
    <t>crm software comparison</t>
  </si>
  <si>
    <t>top crm systems</t>
  </si>
  <si>
    <t>crm vendors</t>
  </si>
  <si>
    <t>crm software pricing comparison</t>
  </si>
  <si>
    <t>CRM Pricing</t>
  </si>
  <si>
    <t>sales crm</t>
  </si>
  <si>
    <t>best crm 2026</t>
  </si>
  <si>
    <t>best sales crm software</t>
  </si>
  <si>
    <t>online crm software</t>
  </si>
  <si>
    <t>crm pricing</t>
  </si>
  <si>
    <t>crm platforms comparison</t>
  </si>
  <si>
    <t>crm software comparison chart</t>
  </si>
  <si>
    <t>crm tools</t>
  </si>
  <si>
    <t>crm for small business</t>
  </si>
  <si>
    <t>affordable crm software</t>
  </si>
  <si>
    <t>best crm for sales teams</t>
  </si>
  <si>
    <t>top 10 crm software</t>
  </si>
  <si>
    <t>crm for sales</t>
  </si>
  <si>
    <t>crm software reviews</t>
  </si>
  <si>
    <t>best crm software</t>
  </si>
  <si>
    <t>cloud crm software</t>
  </si>
  <si>
    <t>best crm software 2026</t>
  </si>
  <si>
    <t>crm for consultants</t>
  </si>
  <si>
    <t>CRM by Industry</t>
  </si>
  <si>
    <t>Broad match</t>
  </si>
  <si>
    <t>crm for insurance agents</t>
  </si>
  <si>
    <t>crm with lead scoring</t>
  </si>
  <si>
    <t>crm software reviews 2026</t>
  </si>
  <si>
    <t>construction crm software</t>
  </si>
  <si>
    <t>AI Max</t>
  </si>
  <si>
    <t>crm strategy</t>
  </si>
  <si>
    <t>crm for nonprofits</t>
  </si>
  <si>
    <t>best crm for startups</t>
  </si>
  <si>
    <t>crm with whatsapp integration</t>
  </si>
  <si>
    <t>crm for recruiting agencies</t>
  </si>
  <si>
    <t>dealflow crm pricing page</t>
  </si>
  <si>
    <t>simple crm for small business</t>
  </si>
  <si>
    <t>best crm for small business</t>
  </si>
  <si>
    <t>crm with email automation</t>
  </si>
  <si>
    <t>crm for law firms</t>
  </si>
  <si>
    <t>crm system for sales teams</t>
  </si>
  <si>
    <t>clienthive support</t>
  </si>
  <si>
    <t>crm developer salary</t>
  </si>
  <si>
    <t>crm for mortgage brokers</t>
  </si>
  <si>
    <t>crm salary</t>
  </si>
  <si>
    <t>crm internship</t>
  </si>
  <si>
    <t>crm software for small businesses</t>
  </si>
  <si>
    <t>salesnest login</t>
  </si>
  <si>
    <t>pipelinepro login</t>
  </si>
  <si>
    <t>crm jobs</t>
  </si>
  <si>
    <t>crm benefits</t>
  </si>
  <si>
    <t>crm examples</t>
  </si>
  <si>
    <t>crm for real estate agents</t>
  </si>
  <si>
    <t>erp software</t>
  </si>
  <si>
    <t>crm vs erp</t>
  </si>
  <si>
    <t>crm meaning</t>
  </si>
  <si>
    <t>hr software</t>
  </si>
  <si>
    <t>salesnest support</t>
  </si>
  <si>
    <t>clienthive login</t>
  </si>
  <si>
    <t>how to use a crm</t>
  </si>
  <si>
    <t>crm definition business</t>
  </si>
  <si>
    <t>crm pdf</t>
  </si>
  <si>
    <t>buy crm email list</t>
  </si>
  <si>
    <t>types of crm</t>
  </si>
  <si>
    <t>scrape emails for crm</t>
  </si>
  <si>
    <t>crm full version free download</t>
  </si>
  <si>
    <t>softwarescout crm</t>
  </si>
  <si>
    <t>project management software</t>
  </si>
  <si>
    <t>email marketing software</t>
  </si>
  <si>
    <t>crm manager jobs</t>
  </si>
  <si>
    <t>softwarescout reviews</t>
  </si>
  <si>
    <t>salesnest api documentation</t>
  </si>
  <si>
    <t>what does crm stand for</t>
  </si>
  <si>
    <t>dealflow crm login</t>
  </si>
  <si>
    <t>pipelinepro pricing login</t>
  </si>
  <si>
    <t>how to choose a crm</t>
  </si>
  <si>
    <t>crm process steps</t>
  </si>
  <si>
    <t>crm software free download crack</t>
  </si>
  <si>
    <t>crm certification course</t>
  </si>
  <si>
    <t>what is crm</t>
  </si>
  <si>
    <t>crm interview questions</t>
  </si>
  <si>
    <t>what is a crm system</t>
  </si>
  <si>
    <t>softwarescout crm reviews</t>
  </si>
  <si>
    <t>free crm template excel</t>
  </si>
  <si>
    <t>inventory management software</t>
  </si>
  <si>
    <t>crm course online free</t>
  </si>
  <si>
    <t>accounting software for small business</t>
  </si>
  <si>
    <t>travel credit cards</t>
  </si>
  <si>
    <t>US | Credit Cards | Travel Rewards</t>
  </si>
  <si>
    <t>Travel Cards - Generic</t>
  </si>
  <si>
    <t>compare travel credit cards</t>
  </si>
  <si>
    <t>travel credit card comparison</t>
  </si>
  <si>
    <t>top travel credit cards</t>
  </si>
  <si>
    <t>best points credit card</t>
  </si>
  <si>
    <t>Points &amp; Hotels</t>
  </si>
  <si>
    <t>best miles credit card</t>
  </si>
  <si>
    <t>Airline &amp; Lounge</t>
  </si>
  <si>
    <t>best travel credit cards</t>
  </si>
  <si>
    <t>best airline credit cards</t>
  </si>
  <si>
    <t>best rewards credit cards</t>
  </si>
  <si>
    <t>best hotel credit cards</t>
  </si>
  <si>
    <t>compare airline miles cards</t>
  </si>
  <si>
    <t>travel card comparison</t>
  </si>
  <si>
    <t>best travel rewards card</t>
  </si>
  <si>
    <t>travel rewards credit cards</t>
  </si>
  <si>
    <t>credit card for travel rewards</t>
  </si>
  <si>
    <t>top airline credit cards 2026</t>
  </si>
  <si>
    <t>travel credit card offers</t>
  </si>
  <si>
    <t>best credit card for travel points</t>
  </si>
  <si>
    <t>best no fee travel card</t>
  </si>
  <si>
    <t>travel credit card sign up bonus</t>
  </si>
  <si>
    <t>travel credit cards comparison chart</t>
  </si>
  <si>
    <t>best credit cards with lounge access</t>
  </si>
  <si>
    <t>best credit cards for travel rewards</t>
  </si>
  <si>
    <t>best credit card for flights</t>
  </si>
  <si>
    <t>premium travel credit card</t>
  </si>
  <si>
    <t>credit cards with travel insurance</t>
  </si>
  <si>
    <t>best credit cards for travel 2026</t>
  </si>
  <si>
    <t>flight tickets</t>
  </si>
  <si>
    <t>best travel credit card for beginners</t>
  </si>
  <si>
    <t>hotel rewards credit card comparison</t>
  </si>
  <si>
    <t>credit card generator</t>
  </si>
  <si>
    <t>travel credit cards with lounge access</t>
  </si>
  <si>
    <t>no annual fee travel credit card</t>
  </si>
  <si>
    <t>credit card hack</t>
  </si>
  <si>
    <t>credit cards for international travel</t>
  </si>
  <si>
    <t>No FX Fee &amp; International</t>
  </si>
  <si>
    <t>passport renewal</t>
  </si>
  <si>
    <t>best card for airport lounge access 2026</t>
  </si>
  <si>
    <t>best cash back travel card</t>
  </si>
  <si>
    <t>best travel card for families</t>
  </si>
  <si>
    <t>rateradar credit cards</t>
  </si>
  <si>
    <t>luggage deals</t>
  </si>
  <si>
    <t>best credit card sign up bonus travel</t>
  </si>
  <si>
    <t>no foreign transaction fee credit card</t>
  </si>
  <si>
    <t>skyward miles card activate</t>
  </si>
  <si>
    <t>best travel credit cards 2026</t>
  </si>
  <si>
    <t>credit card miles vs points</t>
  </si>
  <si>
    <t>travel credit card with free checked bags</t>
  </si>
  <si>
    <t>credit card with priority pass lounge access</t>
  </si>
  <si>
    <t>buy credit card numbers</t>
  </si>
  <si>
    <t>hotel deals</t>
  </si>
  <si>
    <t>best credit card for european travel</t>
  </si>
  <si>
    <t>how many credit cards should i have</t>
  </si>
  <si>
    <t>airport parking</t>
  </si>
  <si>
    <t>what credit score for travel credit card</t>
  </si>
  <si>
    <t>instant approval credit card no credit check</t>
  </si>
  <si>
    <t>travel credit card with no annual fee first year</t>
  </si>
  <si>
    <t>currency exchange near me</t>
  </si>
  <si>
    <t>student credit cards</t>
  </si>
  <si>
    <t>summit card lost card</t>
  </si>
  <si>
    <t>best travel card with tsa precheck credit</t>
  </si>
  <si>
    <t>business credit cards</t>
  </si>
  <si>
    <t>do credit card points expire</t>
  </si>
  <si>
    <t>credit card with global entry credit</t>
  </si>
  <si>
    <t>travel rewards card for beginners</t>
  </si>
  <si>
    <t>car rental deals</t>
  </si>
  <si>
    <t>skyward miles card payment</t>
  </si>
  <si>
    <t>summit card login</t>
  </si>
  <si>
    <t>how to book award travel</t>
  </si>
  <si>
    <t>best credit card for travel to india no foreign fee</t>
  </si>
  <si>
    <t>secured credit cards</t>
  </si>
  <si>
    <t>what is apr on a credit card</t>
  </si>
  <si>
    <t>how do airline miles work</t>
  </si>
  <si>
    <t>how to get lounge access with credit card</t>
  </si>
  <si>
    <t>what is a foreign transaction fee</t>
  </si>
  <si>
    <t>atlas rewards visa payment</t>
  </si>
  <si>
    <t>travel insurance quotes</t>
  </si>
  <si>
    <t>is a travel credit card worth it</t>
  </si>
  <si>
    <t>atlas rewards visa login</t>
  </si>
  <si>
    <t>travel visa application</t>
  </si>
  <si>
    <t>credit card numbers generator with cvv</t>
  </si>
  <si>
    <t>what is a transfer partner</t>
  </si>
  <si>
    <t>debit card for travel</t>
  </si>
  <si>
    <t>what are credit card transfer partners</t>
  </si>
  <si>
    <t>prepaid travel card</t>
  </si>
  <si>
    <t>how to redeem travel points</t>
  </si>
  <si>
    <t>how to use credit card points for flights</t>
  </si>
  <si>
    <t>cardscout reviews</t>
  </si>
  <si>
    <t>skyward miles card customer service</t>
  </si>
  <si>
    <t>how to maximize credit card points</t>
  </si>
  <si>
    <t>cardscout travel cards</t>
  </si>
  <si>
    <t>best credit card for international travel no foreign transaction fee</t>
  </si>
  <si>
    <t>summit card rewards login</t>
  </si>
  <si>
    <t>free credit card numbers that work</t>
  </si>
  <si>
    <t>meridian bank credit card customer service</t>
  </si>
  <si>
    <t>credit card for bad credit guaranteed approval</t>
  </si>
  <si>
    <t>prepaid debit card for travel</t>
  </si>
  <si>
    <t>cheap flights to london</t>
  </si>
  <si>
    <t>how do credit card points work</t>
  </si>
  <si>
    <t>personal loans</t>
  </si>
  <si>
    <t>US | Personal Loans | Comparison</t>
  </si>
  <si>
    <t>Personal Loans - Generic</t>
  </si>
  <si>
    <t>compare personal loans</t>
  </si>
  <si>
    <t>unsecured personal loans</t>
  </si>
  <si>
    <t>personal loans comparison</t>
  </si>
  <si>
    <t>top personal loan companies</t>
  </si>
  <si>
    <t>best personal loans</t>
  </si>
  <si>
    <t>debt consolidation loans</t>
  </si>
  <si>
    <t>Debt Consolidation</t>
  </si>
  <si>
    <t>compare loan rates</t>
  </si>
  <si>
    <t>Rates</t>
  </si>
  <si>
    <t>personal loan comparison site</t>
  </si>
  <si>
    <t>best personal loans online</t>
  </si>
  <si>
    <t>personal loan rates</t>
  </si>
  <si>
    <t>personal loans california</t>
  </si>
  <si>
    <t>personal loans texas</t>
  </si>
  <si>
    <t>personal loan lenders comparison</t>
  </si>
  <si>
    <t>personal loan rates today</t>
  </si>
  <si>
    <t>compare personal loan offers</t>
  </si>
  <si>
    <t>personal loan rates 2026</t>
  </si>
  <si>
    <t>personal loan offers</t>
  </si>
  <si>
    <t>lendwise reviews bbb</t>
  </si>
  <si>
    <t>personal loan prequalification</t>
  </si>
  <si>
    <t>personal loans florida</t>
  </si>
  <si>
    <t>wedding loans rates</t>
  </si>
  <si>
    <t>best debt consolidation loans</t>
  </si>
  <si>
    <t>fixed rate personal loans</t>
  </si>
  <si>
    <t>compare debt consolidation loans</t>
  </si>
  <si>
    <t>best personal loans reddit</t>
  </si>
  <si>
    <t>personal loan lenders</t>
  </si>
  <si>
    <t>best online lenders personal loans</t>
  </si>
  <si>
    <t>home improvement loans</t>
  </si>
  <si>
    <t>personal loans online approval</t>
  </si>
  <si>
    <t>personal loans for good credit</t>
  </si>
  <si>
    <t>Loans by Credit</t>
  </si>
  <si>
    <t>low interest personal loans</t>
  </si>
  <si>
    <t>personal loans new york</t>
  </si>
  <si>
    <t>personal loans with no origination fee</t>
  </si>
  <si>
    <t>personal loans for excellent credit</t>
  </si>
  <si>
    <t>best personal loan lenders 2026</t>
  </si>
  <si>
    <t>personal loans for bad credit</t>
  </si>
  <si>
    <t>best loans for debt consolidation 2026</t>
  </si>
  <si>
    <t>personal loan interest rates comparison</t>
  </si>
  <si>
    <t>personal loan requirements</t>
  </si>
  <si>
    <t>online personal loans</t>
  </si>
  <si>
    <t>lendwise app</t>
  </si>
  <si>
    <t>personal loans with low apr</t>
  </si>
  <si>
    <t>personal loans near me</t>
  </si>
  <si>
    <t>quick personal loans online</t>
  </si>
  <si>
    <t>best personal loan rates today</t>
  </si>
  <si>
    <t>best rates on personal loans</t>
  </si>
  <si>
    <t>personal loans for 700 credit score</t>
  </si>
  <si>
    <t>home improvement loan rates comparison</t>
  </si>
  <si>
    <t>personal loan rates good credit</t>
  </si>
  <si>
    <t>personal loans for fair credit</t>
  </si>
  <si>
    <t>payday loans near me</t>
  </si>
  <si>
    <t>personal loans for medical bills</t>
  </si>
  <si>
    <t>refinance mortgage</t>
  </si>
  <si>
    <t>debt consolidation loan rates comparison</t>
  </si>
  <si>
    <t>lendwise login</t>
  </si>
  <si>
    <t>how to compare personal loans</t>
  </si>
  <si>
    <t>car title loans</t>
  </si>
  <si>
    <t>personal loan rates comparison 2026</t>
  </si>
  <si>
    <t>rv loan rates</t>
  </si>
  <si>
    <t>consolidate credit card debt loan</t>
  </si>
  <si>
    <t>payday loans online same day</t>
  </si>
  <si>
    <t>instant payday loans online</t>
  </si>
  <si>
    <t>how to get a personal loan</t>
  </si>
  <si>
    <t>heloc rates</t>
  </si>
  <si>
    <t>debt consolidation loan for 30000</t>
  </si>
  <si>
    <t>debt consolidation loans for good credit</t>
  </si>
  <si>
    <t>personal loan for credit card refinancing</t>
  </si>
  <si>
    <t>personal loan interest calculator</t>
  </si>
  <si>
    <t>guaranteed loans for bad credit</t>
  </si>
  <si>
    <t>personal loan calculator excel</t>
  </si>
  <si>
    <t>personal loan calculator</t>
  </si>
  <si>
    <t>average personal loan interest rate</t>
  </si>
  <si>
    <t>jumbo loan rates</t>
  </si>
  <si>
    <t>title loans near me</t>
  </si>
  <si>
    <t>brightpath lending login</t>
  </si>
  <si>
    <t>best personal loans for home renovation</t>
  </si>
  <si>
    <t>crestline credit payoff</t>
  </si>
  <si>
    <t>lowest apr personal loans for good credit</t>
  </si>
  <si>
    <t>personal loan rates for 720 credit score</t>
  </si>
  <si>
    <t>car loan rates</t>
  </si>
  <si>
    <t>no credit check loans guaranteed approval</t>
  </si>
  <si>
    <t>rateradar personal loans</t>
  </si>
  <si>
    <t>crestline credit login</t>
  </si>
  <si>
    <t>how do personal loans work</t>
  </si>
  <si>
    <t>business loans for startups</t>
  </si>
  <si>
    <t>personal loan definition</t>
  </si>
  <si>
    <t>personal loan to pay off credit cards</t>
  </si>
  <si>
    <t>emergency loans no credit check</t>
  </si>
  <si>
    <t>what is a personal loan</t>
  </si>
  <si>
    <t>auto loan calculator</t>
  </si>
  <si>
    <t>loan officer salary</t>
  </si>
  <si>
    <t>brightpath lending phone number</t>
  </si>
  <si>
    <t>best personal loans for 750 credit score</t>
  </si>
  <si>
    <t>mortgage rates today</t>
  </si>
  <si>
    <t>how much personal loan can i get</t>
  </si>
  <si>
    <t>northwind bank login</t>
  </si>
  <si>
    <t>student loan forgiveness</t>
  </si>
  <si>
    <t>how does apr work</t>
  </si>
  <si>
    <t>can i get a personal loan with a 600 credit score</t>
  </si>
  <si>
    <t>lendwise customer service</t>
  </si>
  <si>
    <t>land loans</t>
  </si>
  <si>
    <t>boat loan rates</t>
  </si>
  <si>
    <t>rateradar reviews</t>
  </si>
  <si>
    <t>is a personal loan a good idea</t>
  </si>
  <si>
    <t>401k loan rules</t>
  </si>
  <si>
    <t>does a personal loan hurt your credit</t>
  </si>
  <si>
    <t>what is an origination fee</t>
  </si>
  <si>
    <t>personal loan vs credit card</t>
  </si>
  <si>
    <t>loan officer jobs</t>
  </si>
  <si>
    <t>loancompare personal loan rates</t>
  </si>
  <si>
    <t>sba loan requirements</t>
  </si>
  <si>
    <t>cash advance loans instant</t>
  </si>
  <si>
    <t>how long does a personal loan take</t>
  </si>
  <si>
    <t>loancompare reviews</t>
  </si>
  <si>
    <t>personal loan jobs remote</t>
  </si>
  <si>
    <t>tax refund advance loan</t>
  </si>
  <si>
    <t>what credit score do you need for a personal loan</t>
  </si>
  <si>
    <t>personal loan vs line of credit</t>
  </si>
  <si>
    <t>student loan refinance rates</t>
  </si>
  <si>
    <t>loans for bad credit guaranteed approval no credit check</t>
  </si>
  <si>
    <t>northwind bank personal loan payment</t>
  </si>
  <si>
    <t>personal loan amortization schedule</t>
  </si>
  <si>
    <t>how to pay off personal loan faster</t>
  </si>
  <si>
    <t>pet insurance</t>
  </si>
  <si>
    <t>US | Pet Insurance | Comparison</t>
  </si>
  <si>
    <t>Pet Insurance - Generic</t>
  </si>
  <si>
    <t>cat insurance</t>
  </si>
  <si>
    <t>Cat Insurance</t>
  </si>
  <si>
    <t>best dog insurance</t>
  </si>
  <si>
    <t>Dog Insurance</t>
  </si>
  <si>
    <t>pet insurance quotes</t>
  </si>
  <si>
    <t>Pet Insurance Cost</t>
  </si>
  <si>
    <t>best pet insurance</t>
  </si>
  <si>
    <t>dog insurance</t>
  </si>
  <si>
    <t>cheap dog insurance</t>
  </si>
  <si>
    <t>puppy insurance</t>
  </si>
  <si>
    <t>compare pet insurance</t>
  </si>
  <si>
    <t>pet insurance comparison</t>
  </si>
  <si>
    <t>pet insurance compare quotes</t>
  </si>
  <si>
    <t>best cat insurance</t>
  </si>
  <si>
    <t>affordable pet insurance</t>
  </si>
  <si>
    <t>cheap cat insurance</t>
  </si>
  <si>
    <t>best pet insurance 2026</t>
  </si>
  <si>
    <t>pet insurance options</t>
  </si>
  <si>
    <t>pet insurance for puppies</t>
  </si>
  <si>
    <t>kitten insurance</t>
  </si>
  <si>
    <t>pet insurance plans comparison</t>
  </si>
  <si>
    <t>monthly pet insurance</t>
  </si>
  <si>
    <t>pet health insurance</t>
  </si>
  <si>
    <t>pet insurance plans</t>
  </si>
  <si>
    <t>pet insurance florida</t>
  </si>
  <si>
    <t>low cost pet insurance</t>
  </si>
  <si>
    <t>pet insurance california</t>
  </si>
  <si>
    <t>best rated pet insurance</t>
  </si>
  <si>
    <t>cheap pet insurance</t>
  </si>
  <si>
    <t>pet insurance texas</t>
  </si>
  <si>
    <t>pet insurance cost</t>
  </si>
  <si>
    <t>pet insurance for dogs</t>
  </si>
  <si>
    <t>pet insurance reviews</t>
  </si>
  <si>
    <t>pet insurance for german shepherds</t>
  </si>
  <si>
    <t>pet insurance that covers dental</t>
  </si>
  <si>
    <t>multi pet insurance discount</t>
  </si>
  <si>
    <t>pet insurance near me</t>
  </si>
  <si>
    <t>accident and illness pet insurance</t>
  </si>
  <si>
    <t>best pet insurance for dogs 2026</t>
  </si>
  <si>
    <t>best pet insurance for cats 2026</t>
  </si>
  <si>
    <t>petquotehub</t>
  </si>
  <si>
    <t>pet insurance for senior cats</t>
  </si>
  <si>
    <t>pet food</t>
  </si>
  <si>
    <t>pet pharmacy</t>
  </si>
  <si>
    <t>pet insurance with no age limit</t>
  </si>
  <si>
    <t>dog vaccination schedule</t>
  </si>
  <si>
    <t>pet insurance for golden retrievers</t>
  </si>
  <si>
    <t>pet insurance for dogs over 10 years old</t>
  </si>
  <si>
    <t>petguard login</t>
  </si>
  <si>
    <t>pet insurance with wellness plan</t>
  </si>
  <si>
    <t>how does pet insurance work</t>
  </si>
  <si>
    <t>pet insurance for french bulldogs</t>
  </si>
  <si>
    <t>cat toys</t>
  </si>
  <si>
    <t>what age should you get pet insurance</t>
  </si>
  <si>
    <t>human health insurance</t>
  </si>
  <si>
    <t>dog beds</t>
  </si>
  <si>
    <t>pet insurance for older dogs</t>
  </si>
  <si>
    <t>what does pet insurance cover</t>
  </si>
  <si>
    <t>dog food delivery</t>
  </si>
  <si>
    <t>pawsure app</t>
  </si>
  <si>
    <t>is pet insurance worth it</t>
  </si>
  <si>
    <t>pet insurance explained</t>
  </si>
  <si>
    <t>pawsure login</t>
  </si>
  <si>
    <t>best pet insurance for large breed dogs</t>
  </si>
  <si>
    <t>pawsure customer service</t>
  </si>
  <si>
    <t>what is pet insurance</t>
  </si>
  <si>
    <t>cat vaccination cost</t>
  </si>
  <si>
    <t>cat litter</t>
  </si>
  <si>
    <t>pet sitter near me</t>
  </si>
  <si>
    <t>dog training classes</t>
  </si>
  <si>
    <t>petguard cancel policy</t>
  </si>
  <si>
    <t>tailwell claim status</t>
  </si>
  <si>
    <t>pet insurance waiting period explained</t>
  </si>
  <si>
    <t>is pet insurance tax deductible</t>
  </si>
  <si>
    <t>pet insurance for cats with no waiting period</t>
  </si>
  <si>
    <t>pet insurance deductible explained</t>
  </si>
  <si>
    <t>pet adoption</t>
  </si>
  <si>
    <t>petguard claim form</t>
  </si>
  <si>
    <t>pet friendly apartments</t>
  </si>
  <si>
    <t>free pet insurance</t>
  </si>
  <si>
    <t>average cost of dog surgery</t>
  </si>
  <si>
    <t>tailwell insurance phone number</t>
  </si>
  <si>
    <t>petquotehub reviews</t>
  </si>
  <si>
    <t>emergency vet open now</t>
  </si>
  <si>
    <t>pet supplies near me</t>
  </si>
  <si>
    <t>vet near me</t>
  </si>
  <si>
    <t>how much is pet insurance per month</t>
  </si>
  <si>
    <t>petquotehub pet insurance</t>
  </si>
  <si>
    <t>dog walker near me</t>
  </si>
  <si>
    <t>whiskershield customer service</t>
  </si>
  <si>
    <t>how to file a pet insurance claim</t>
  </si>
  <si>
    <t>how much does a vet visit cost</t>
  </si>
  <si>
    <t>dog grooming near me</t>
  </si>
  <si>
    <t>pet store near me</t>
  </si>
  <si>
    <t>My negatives (fill in)</t>
  </si>
  <si>
    <t>Legend: pick your campaign in B3 first. Then type one negative per row in the white rows below the yellow example (a real negative: keep it or replace it). Column E fills itself: the September cost of every search term in your campaign that contains the negative as whole words, like a phrase-match negative. Score slips use this figure.</t>
  </si>
  <si>
    <t>Your campaign:</t>
  </si>
  <si>
    <t>Negative keyword</t>
  </si>
  <si>
    <t>Negative match type</t>
  </si>
  <si>
    <t>Level (campaign / ad group / shared list)</t>
  </si>
  <si>
    <t>Reason (intent category)</t>
  </si>
  <si>
    <t>Spend it would have blocked in Sep (USD)</t>
  </si>
  <si>
    <t>Checked by Challenger?</t>
  </si>
  <si>
    <t>calculator</t>
  </si>
  <si>
    <t>Phrase</t>
  </si>
  <si>
    <t>Shared list: Informational modifiers</t>
  </si>
  <si>
    <t>Informational</t>
  </si>
  <si>
    <t>Yes</t>
  </si>
  <si>
    <t>Existing shared negative keyword lists in the account (phrase match). Not yet applied to the comparison campaigns in this file.</t>
  </si>
  <si>
    <t>List</t>
  </si>
  <si>
    <t>Negative</t>
  </si>
  <si>
    <t>Informational modifiers</t>
  </si>
  <si>
    <t>definition</t>
  </si>
  <si>
    <t>meaning</t>
  </si>
  <si>
    <t>wiki</t>
  </si>
  <si>
    <t>history of</t>
  </si>
  <si>
    <t>Jobs and careers</t>
  </si>
  <si>
    <t>jobs</t>
  </si>
  <si>
    <t>careers</t>
  </si>
  <si>
    <t>salary</t>
  </si>
  <si>
    <t>internship</t>
  </si>
  <si>
    <t>Existing customers</t>
  </si>
  <si>
    <t>login</t>
  </si>
  <si>
    <t>sign in</t>
  </si>
  <si>
    <t>customer service</t>
  </si>
  <si>
    <t>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</si>
</sst>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quot;($&quot;#,##0.00\);\-"/>
    <numFmt numFmtId="166" formatCode="\$#,##0;&quot;($&quot;#,##0\);\-"/>
  </numFmts>
  <fonts count="8" x14ac:knownFonts="1">
    <font>
      <sz val="11"/>
      <color theme="1"/>
      <name val="Calibri"/>
      <family val="2"/>
      <charset val="1"/>
    </font>
    <font>
      <b/>
      <sz val="16"/>
      <color rgb="FF1B5E3B"/>
      <name val="Arial"/>
      <family val="2"/>
    </font>
    <font>
      <i/>
      <sz val="9"/>
      <color rgb="FF5F6B76"/>
      <name val="Arial"/>
      <family val="2"/>
    </font>
    <font>
      <b/>
      <sz val="11"/>
      <color rgb="FF0F766E"/>
      <name val="Arial"/>
      <family val="2"/>
    </font>
    <font>
      <sz val="10"/>
      <color rgb="FF1F2933"/>
      <name val="Arial"/>
      <family val="2"/>
    </font>
    <font>
      <b/>
      <sz val="10"/>
      <color rgb="FFFFFFFF"/>
      <name val="Arial"/>
      <family val="2"/>
    </font>
    <font>
      <b/>
      <sz val="10"/>
      <color rgb="FF1F2933"/>
      <name val="Arial"/>
      <family val="2"/>
    </font>
    <font>
      <sz val="10"/>
      <color rgb="FF0000FF"/>
      <name val="Arial"/>
      <family val="2"/>
    </font>
  </fonts>
  <fills count="4">
    <fill>
      <patternFill patternType="none"/>
    </fill>
    <fill>
      <patternFill patternType="gray125"/>
    </fill>
    <fill>
      <patternFill patternType="solid">
        <fgColor rgb="FF1B5E3B"/>
        <bgColor rgb="FF0F766E"/>
      </patternFill>
    </fill>
    <fill>
      <patternFill patternType="solid">
        <fgColor rgb="FFFFFF00"/>
        <bgColor rgb="FFFFFF00"/>
      </patternFill>
    </fill>
  </fills>
  <borders count="2">
    <border>
      <left/>
      <right/>
      <top/>
      <bottom/>
      <diagonal/>
    </border>
    <border>
      <left/>
      <right/>
      <top/>
      <bottom style="thin">
        <color rgb="FFD5DBD8"/>
      </bottom>
      <diagonal/>
    </border>
  </borders>
  <cellStyleXfs count="1">
    <xf numFmtId="0" fontId="0" fillId="0" borderId="0"/>
  </cellStyleXfs>
  <cellXfs count="16">
    <xf numFmtId="0" fontId="0" fillId="0" borderId="0" xfId="0"/>
    <xf numFmtId="0" fontId="7" fillId="3" borderId="0" xfId="0" applyFont="1" applyFill="1"/>
    <xf numFmtId="0" fontId="2" fillId="0" borderId="0" xfId="0" applyFont="1" applyAlignment="1">
      <alignment vertical="top" wrapText="1"/>
    </xf>
    <xf numFmtId="0" fontId="1" fillId="0" borderId="0" xfId="0" applyFont="1"/>
    <xf numFmtId="0" fontId="3" fillId="0" borderId="0" xfId="0" applyFont="1"/>
    <xf numFmtId="0" fontId="4" fillId="0" borderId="0" xfId="0" applyFont="1" applyAlignment="1">
      <alignment vertical="top" wrapText="1"/>
    </xf>
    <xf numFmtId="0" fontId="5" fillId="2" borderId="0" xfId="0" applyFont="1" applyFill="1" applyAlignment="1">
      <alignment vertical="center" wrapText="1"/>
    </xf>
    <xf numFmtId="0" fontId="4" fillId="0" borderId="0" xfId="0" applyFont="1"/>
    <xf numFmtId="164" fontId="4" fillId="0" borderId="0" xfId="0" applyNumberFormat="1" applyFont="1"/>
    <xf numFmtId="165" fontId="4" fillId="0" borderId="0" xfId="0" applyNumberFormat="1" applyFont="1"/>
    <xf numFmtId="0" fontId="6" fillId="0" borderId="0" xfId="0" applyFont="1"/>
    <xf numFmtId="166" fontId="4" fillId="3" borderId="0" xfId="0" applyNumberFormat="1" applyFont="1" applyFill="1"/>
    <xf numFmtId="0" fontId="7" fillId="0" borderId="1" xfId="0" applyFont="1" applyBorder="1"/>
    <xf numFmtId="166" fontId="4" fillId="0" borderId="1" xfId="0" applyNumberFormat="1" applyFont="1" applyBorder="1"/>
    <xf numFmtId="0" fontId="2" fillId="0" borderId="0" xfId="0" applyFont="1" applyAlignment="1">
      <alignment vertical="top" wrapText="1"/>
    </xf>
    <xf numFmtId="0" fontId="7" fillId="3"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B"/>
      <rgbColor rgb="FF000080"/>
      <rgbColor rgb="FF808000"/>
      <rgbColor rgb="FF800080"/>
      <rgbColor rgb="FF0F766E"/>
      <rgbColor rgb="FFC0C0C0"/>
      <rgbColor rgb="FF808080"/>
      <rgbColor rgb="FF9999FF"/>
      <rgbColor rgb="FF993366"/>
      <rgbColor rgb="FFFFFFCC"/>
      <rgbColor rgb="FFCCFFFF"/>
      <rgbColor rgb="FF660066"/>
      <rgbColor rgb="FFFF8080"/>
      <rgbColor rgb="FF0066CC"/>
      <rgbColor rgb="FFD5DB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6B76"/>
      <rgbColor rgb="FF969696"/>
      <rgbColor rgb="FF003366"/>
      <rgbColor rgb="FF339966"/>
      <rgbColor rgb="FF003300"/>
      <rgbColor rgb="FF333300"/>
      <rgbColor rgb="FF993300"/>
      <rgbColor rgb="FF993366"/>
      <rgbColor rgb="FF333399"/>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earchTerms" displayName="SearchTerms" ref="A1:I404" totalsRowShown="0">
  <autoFilter ref="A1:I404" xr:uid="{00000000-0009-0000-0100-000002000000}"/>
  <tableColumns count="9">
    <tableColumn id="1" xr3:uid="{00000000-0010-0000-0000-000001000000}" name="Search term"/>
    <tableColumn id="2" xr3:uid="{00000000-0010-0000-0000-000002000000}" name="Campaign"/>
    <tableColumn id="3" xr3:uid="{00000000-0010-0000-0000-000003000000}" name="Ad group"/>
    <tableColumn id="4" xr3:uid="{00000000-0010-0000-0000-000004000000}" name="Match type"/>
    <tableColumn id="5" xr3:uid="{00000000-0010-0000-0000-000005000000}" name="Impressions"/>
    <tableColumn id="6" xr3:uid="{00000000-0010-0000-0000-000006000000}" name="Clicks"/>
    <tableColumn id="7" xr3:uid="{00000000-0010-0000-0000-000007000000}" name="Cost (USD)"/>
    <tableColumn id="8" xr3:uid="{00000000-0010-0000-0000-000008000000}" name="Click-outs"/>
    <tableColumn id="9" xr3:uid="{00000000-0010-0000-0000-000009000000}" name="Revenue (US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ExistingNegLists" displayName="ExistingNegLists" ref="A3:B15" totalsRowShown="0">
  <autoFilter ref="A3:B15" xr:uid="{00000000-0009-0000-0100-000001000000}"/>
  <tableColumns count="2">
    <tableColumn id="1" xr3:uid="{00000000-0010-0000-0100-000001000000}" name="List"/>
    <tableColumn id="2" xr3:uid="{00000000-0010-0000-0100-000002000000}" name="Negativ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5E3B"/>
  </sheetPr>
  <dimension ref="A1:A22"/>
  <sheetViews>
    <sheetView showGridLines="0" tabSelected="1" zoomScaleNormal="100" workbookViewId="0">
      <selection activeCell="A7" sqref="A7"/>
    </sheetView>
  </sheetViews>
  <sheetFormatPr defaultColWidth="8.6328125" defaultRowHeight="14.5" x14ac:dyDescent="0.35"/>
  <cols>
    <col min="1" max="1" width="120" customWidth="1"/>
  </cols>
  <sheetData>
    <row r="1" spans="1:1" ht="20" x14ac:dyDescent="0.4">
      <c r="A1" s="3" t="s">
        <v>0</v>
      </c>
    </row>
    <row r="2" spans="1:1" ht="30" customHeight="1" x14ac:dyDescent="0.35">
      <c r="A2" s="2" t="s">
        <v>1</v>
      </c>
    </row>
    <row r="4" spans="1:1" x14ac:dyDescent="0.35">
      <c r="A4" s="4" t="s">
        <v>2</v>
      </c>
    </row>
    <row r="5" spans="1:1" ht="60" customHeight="1" x14ac:dyDescent="0.35">
      <c r="A5" s="5" t="s">
        <v>3</v>
      </c>
    </row>
    <row r="6" spans="1:1" x14ac:dyDescent="0.35">
      <c r="A6" s="4" t="s">
        <v>4</v>
      </c>
    </row>
    <row r="7" spans="1:1" ht="77.5" customHeight="1" x14ac:dyDescent="0.35">
      <c r="A7" s="5" t="s">
        <v>5</v>
      </c>
    </row>
    <row r="8" spans="1:1" ht="45" customHeight="1" x14ac:dyDescent="0.35">
      <c r="A8" s="5" t="s">
        <v>6</v>
      </c>
    </row>
    <row r="9" spans="1:1" x14ac:dyDescent="0.35">
      <c r="A9" s="4" t="s">
        <v>7</v>
      </c>
    </row>
    <row r="10" spans="1:1" ht="60" customHeight="1" x14ac:dyDescent="0.35">
      <c r="A10" s="5" t="s">
        <v>8</v>
      </c>
    </row>
    <row r="11" spans="1:1" ht="60" customHeight="1" x14ac:dyDescent="0.35">
      <c r="A11" s="5" t="s">
        <v>9</v>
      </c>
    </row>
    <row r="12" spans="1:1" ht="30" customHeight="1" x14ac:dyDescent="0.35">
      <c r="A12" s="5" t="s">
        <v>10</v>
      </c>
    </row>
    <row r="13" spans="1:1" x14ac:dyDescent="0.35">
      <c r="A13" s="4" t="s">
        <v>11</v>
      </c>
    </row>
    <row r="14" spans="1:1" ht="30" customHeight="1" x14ac:dyDescent="0.35">
      <c r="A14" s="5" t="s">
        <v>12</v>
      </c>
    </row>
    <row r="15" spans="1:1" ht="30" customHeight="1" x14ac:dyDescent="0.35">
      <c r="A15" s="5" t="s">
        <v>13</v>
      </c>
    </row>
    <row r="16" spans="1:1" ht="15" customHeight="1" x14ac:dyDescent="0.35">
      <c r="A16" s="5" t="s">
        <v>14</v>
      </c>
    </row>
    <row r="17" spans="1:1" ht="30" customHeight="1" x14ac:dyDescent="0.35">
      <c r="A17" s="5" t="s">
        <v>15</v>
      </c>
    </row>
    <row r="18" spans="1:1" x14ac:dyDescent="0.35">
      <c r="A18" s="4" t="s">
        <v>16</v>
      </c>
    </row>
    <row r="19" spans="1:1" ht="30" customHeight="1" x14ac:dyDescent="0.35">
      <c r="A19" s="5" t="s">
        <v>17</v>
      </c>
    </row>
    <row r="20" spans="1:1" ht="45" customHeight="1" x14ac:dyDescent="0.35">
      <c r="A20" s="5" t="s">
        <v>18</v>
      </c>
    </row>
    <row r="21" spans="1:1" ht="30" customHeight="1" x14ac:dyDescent="0.35">
      <c r="A21" s="5" t="s">
        <v>19</v>
      </c>
    </row>
    <row r="22" spans="1:1" ht="30" customHeight="1" x14ac:dyDescent="0.35">
      <c r="A22" s="5"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5E3B"/>
  </sheetPr>
  <dimension ref="A1:I404"/>
  <sheetViews>
    <sheetView zoomScaleNormal="100" workbookViewId="0">
      <pane xSplit="1" ySplit="1" topLeftCell="B2" activePane="bottomRight" state="frozen"/>
      <selection pane="topRight" activeCell="B1" sqref="B1"/>
      <selection pane="bottomLeft" activeCell="A2" sqref="A2"/>
      <selection pane="bottomRight" activeCell="B1" sqref="B1:B1048576"/>
    </sheetView>
  </sheetViews>
  <sheetFormatPr defaultColWidth="8.6328125" defaultRowHeight="14.5" x14ac:dyDescent="0.35"/>
  <cols>
    <col min="1" max="1" width="31.26953125" customWidth="1"/>
    <col min="2" max="2" width="26.36328125" customWidth="1"/>
    <col min="3" max="3" width="16.453125" customWidth="1"/>
    <col min="4" max="4" width="14" customWidth="1"/>
    <col min="5" max="5" width="11.453125" customWidth="1"/>
    <col min="6" max="6" width="6.54296875" customWidth="1"/>
    <col min="7" max="7" width="10.453125" customWidth="1"/>
    <col min="8" max="8" width="9.54296875" customWidth="1"/>
    <col min="9" max="9" width="13.81640625" customWidth="1"/>
  </cols>
  <sheetData>
    <row r="1" spans="1:9" ht="30" customHeight="1" x14ac:dyDescent="0.35">
      <c r="A1" s="6" t="s">
        <v>21</v>
      </c>
      <c r="B1" s="6" t="s">
        <v>22</v>
      </c>
      <c r="C1" s="6" t="s">
        <v>23</v>
      </c>
      <c r="D1" s="6" t="s">
        <v>24</v>
      </c>
      <c r="E1" s="6" t="s">
        <v>25</v>
      </c>
      <c r="F1" s="6" t="s">
        <v>26</v>
      </c>
      <c r="G1" s="6" t="s">
        <v>27</v>
      </c>
      <c r="H1" s="6" t="s">
        <v>28</v>
      </c>
      <c r="I1" s="6" t="s">
        <v>29</v>
      </c>
    </row>
    <row r="2" spans="1:9" x14ac:dyDescent="0.35">
      <c r="A2" s="7" t="s">
        <v>30</v>
      </c>
      <c r="B2" s="7" t="s">
        <v>31</v>
      </c>
      <c r="C2" s="7" t="s">
        <v>32</v>
      </c>
      <c r="D2" s="7" t="s">
        <v>33</v>
      </c>
      <c r="E2" s="8">
        <v>9744</v>
      </c>
      <c r="F2" s="8">
        <v>467</v>
      </c>
      <c r="G2" s="9">
        <v>5569.93</v>
      </c>
      <c r="H2" s="8">
        <v>90</v>
      </c>
      <c r="I2" s="9">
        <v>6477.83</v>
      </c>
    </row>
    <row r="3" spans="1:9" x14ac:dyDescent="0.35">
      <c r="A3" s="7" t="s">
        <v>34</v>
      </c>
      <c r="B3" s="7" t="s">
        <v>31</v>
      </c>
      <c r="C3" s="7" t="s">
        <v>35</v>
      </c>
      <c r="D3" s="7" t="s">
        <v>36</v>
      </c>
      <c r="E3" s="8">
        <v>4836</v>
      </c>
      <c r="F3" s="8">
        <v>252</v>
      </c>
      <c r="G3" s="9">
        <v>3824.56</v>
      </c>
      <c r="H3" s="8">
        <v>40</v>
      </c>
      <c r="I3" s="9">
        <v>2715.55</v>
      </c>
    </row>
    <row r="4" spans="1:9" x14ac:dyDescent="0.35">
      <c r="A4" s="7" t="s">
        <v>37</v>
      </c>
      <c r="B4" s="7" t="s">
        <v>31</v>
      </c>
      <c r="C4" s="7" t="s">
        <v>35</v>
      </c>
      <c r="D4" s="7" t="s">
        <v>36</v>
      </c>
      <c r="E4" s="8">
        <v>3504</v>
      </c>
      <c r="F4" s="8">
        <v>190</v>
      </c>
      <c r="G4" s="9">
        <v>2417.3000000000002</v>
      </c>
      <c r="H4" s="8">
        <v>47</v>
      </c>
      <c r="I4" s="9">
        <v>3199.95</v>
      </c>
    </row>
    <row r="5" spans="1:9" x14ac:dyDescent="0.35">
      <c r="A5" s="7" t="s">
        <v>38</v>
      </c>
      <c r="B5" s="7" t="s">
        <v>31</v>
      </c>
      <c r="C5" s="7" t="s">
        <v>35</v>
      </c>
      <c r="D5" s="7" t="s">
        <v>33</v>
      </c>
      <c r="E5" s="8">
        <v>2636</v>
      </c>
      <c r="F5" s="8">
        <v>129</v>
      </c>
      <c r="G5" s="9">
        <v>1979.76</v>
      </c>
      <c r="H5" s="8">
        <v>26</v>
      </c>
      <c r="I5" s="9">
        <v>1600.76</v>
      </c>
    </row>
    <row r="6" spans="1:9" x14ac:dyDescent="0.35">
      <c r="A6" s="7" t="s">
        <v>39</v>
      </c>
      <c r="B6" s="7" t="s">
        <v>31</v>
      </c>
      <c r="C6" s="7" t="s">
        <v>35</v>
      </c>
      <c r="D6" s="7" t="s">
        <v>36</v>
      </c>
      <c r="E6" s="8">
        <v>2290</v>
      </c>
      <c r="F6" s="8">
        <v>147</v>
      </c>
      <c r="G6" s="9">
        <v>1950.18</v>
      </c>
      <c r="H6" s="8">
        <v>35</v>
      </c>
      <c r="I6" s="9">
        <v>2082.98</v>
      </c>
    </row>
    <row r="7" spans="1:9" x14ac:dyDescent="0.35">
      <c r="A7" s="7" t="s">
        <v>40</v>
      </c>
      <c r="B7" s="7" t="s">
        <v>31</v>
      </c>
      <c r="C7" s="7" t="s">
        <v>32</v>
      </c>
      <c r="D7" s="7" t="s">
        <v>36</v>
      </c>
      <c r="E7" s="8">
        <v>1874</v>
      </c>
      <c r="F7" s="8">
        <v>121</v>
      </c>
      <c r="G7" s="9">
        <v>1626.24</v>
      </c>
      <c r="H7" s="8">
        <v>24</v>
      </c>
      <c r="I7" s="9">
        <v>1682.12</v>
      </c>
    </row>
    <row r="8" spans="1:9" x14ac:dyDescent="0.35">
      <c r="A8" s="7" t="s">
        <v>41</v>
      </c>
      <c r="B8" s="7" t="s">
        <v>31</v>
      </c>
      <c r="C8" s="7" t="s">
        <v>35</v>
      </c>
      <c r="D8" s="7" t="s">
        <v>33</v>
      </c>
      <c r="E8" s="8">
        <v>2480</v>
      </c>
      <c r="F8" s="8">
        <v>122</v>
      </c>
      <c r="G8" s="9">
        <v>1472.12</v>
      </c>
      <c r="H8" s="8">
        <v>21</v>
      </c>
      <c r="I8" s="9">
        <v>1455.64</v>
      </c>
    </row>
    <row r="9" spans="1:9" x14ac:dyDescent="0.35">
      <c r="A9" s="7" t="s">
        <v>42</v>
      </c>
      <c r="B9" s="7" t="s">
        <v>31</v>
      </c>
      <c r="C9" s="7" t="s">
        <v>35</v>
      </c>
      <c r="D9" s="7" t="s">
        <v>33</v>
      </c>
      <c r="E9" s="8">
        <v>2941</v>
      </c>
      <c r="F9" s="8">
        <v>119</v>
      </c>
      <c r="G9" s="9">
        <v>1434.53</v>
      </c>
      <c r="H9" s="8">
        <v>29</v>
      </c>
      <c r="I9" s="9">
        <v>1850.44</v>
      </c>
    </row>
    <row r="10" spans="1:9" x14ac:dyDescent="0.35">
      <c r="A10" s="7" t="s">
        <v>43</v>
      </c>
      <c r="B10" s="7" t="s">
        <v>31</v>
      </c>
      <c r="C10" s="7" t="s">
        <v>32</v>
      </c>
      <c r="D10" s="7" t="s">
        <v>33</v>
      </c>
      <c r="E10" s="8">
        <v>2208</v>
      </c>
      <c r="F10" s="8">
        <v>106</v>
      </c>
      <c r="G10" s="9">
        <v>1373.97</v>
      </c>
      <c r="H10" s="8">
        <v>24</v>
      </c>
      <c r="I10" s="9">
        <v>1727.34</v>
      </c>
    </row>
    <row r="11" spans="1:9" x14ac:dyDescent="0.35">
      <c r="A11" s="7" t="s">
        <v>44</v>
      </c>
      <c r="B11" s="7" t="s">
        <v>31</v>
      </c>
      <c r="C11" s="7" t="s">
        <v>45</v>
      </c>
      <c r="D11" s="7" t="s">
        <v>36</v>
      </c>
      <c r="E11" s="8">
        <v>1612</v>
      </c>
      <c r="F11" s="8">
        <v>90</v>
      </c>
      <c r="G11" s="9">
        <v>1320.09</v>
      </c>
      <c r="H11" s="8">
        <v>7</v>
      </c>
      <c r="I11" s="9">
        <v>461.7</v>
      </c>
    </row>
    <row r="12" spans="1:9" x14ac:dyDescent="0.35">
      <c r="A12" s="7" t="s">
        <v>46</v>
      </c>
      <c r="B12" s="7" t="s">
        <v>31</v>
      </c>
      <c r="C12" s="7" t="s">
        <v>32</v>
      </c>
      <c r="D12" s="7" t="s">
        <v>33</v>
      </c>
      <c r="E12" s="8">
        <v>2232</v>
      </c>
      <c r="F12" s="8">
        <v>98</v>
      </c>
      <c r="G12" s="9">
        <v>1318.39</v>
      </c>
      <c r="H12" s="8">
        <v>12</v>
      </c>
      <c r="I12" s="9">
        <v>757.52</v>
      </c>
    </row>
    <row r="13" spans="1:9" x14ac:dyDescent="0.35">
      <c r="A13" s="7" t="s">
        <v>47</v>
      </c>
      <c r="B13" s="7" t="s">
        <v>31</v>
      </c>
      <c r="C13" s="7" t="s">
        <v>35</v>
      </c>
      <c r="D13" s="7" t="s">
        <v>36</v>
      </c>
      <c r="E13" s="8">
        <v>1799</v>
      </c>
      <c r="F13" s="8">
        <v>94</v>
      </c>
      <c r="G13" s="9">
        <v>1305.67</v>
      </c>
      <c r="H13" s="8">
        <v>23</v>
      </c>
      <c r="I13" s="9">
        <v>1451.95</v>
      </c>
    </row>
    <row r="14" spans="1:9" x14ac:dyDescent="0.35">
      <c r="A14" s="7" t="s">
        <v>48</v>
      </c>
      <c r="B14" s="7" t="s">
        <v>31</v>
      </c>
      <c r="C14" s="7" t="s">
        <v>35</v>
      </c>
      <c r="D14" s="7" t="s">
        <v>36</v>
      </c>
      <c r="E14" s="8">
        <v>2579</v>
      </c>
      <c r="F14" s="8">
        <v>100</v>
      </c>
      <c r="G14" s="9">
        <v>1237.5999999999999</v>
      </c>
      <c r="H14" s="8">
        <v>32</v>
      </c>
      <c r="I14" s="9">
        <v>2086.15</v>
      </c>
    </row>
    <row r="15" spans="1:9" x14ac:dyDescent="0.35">
      <c r="A15" s="7" t="s">
        <v>49</v>
      </c>
      <c r="B15" s="7" t="s">
        <v>31</v>
      </c>
      <c r="C15" s="7" t="s">
        <v>32</v>
      </c>
      <c r="D15" s="7" t="s">
        <v>33</v>
      </c>
      <c r="E15" s="8">
        <v>2095</v>
      </c>
      <c r="F15" s="8">
        <v>97</v>
      </c>
      <c r="G15" s="9">
        <v>1203.8900000000001</v>
      </c>
      <c r="H15" s="8">
        <v>13</v>
      </c>
      <c r="I15" s="9">
        <v>866.69</v>
      </c>
    </row>
    <row r="16" spans="1:9" x14ac:dyDescent="0.35">
      <c r="A16" s="7" t="s">
        <v>50</v>
      </c>
      <c r="B16" s="7" t="s">
        <v>31</v>
      </c>
      <c r="C16" s="7" t="s">
        <v>45</v>
      </c>
      <c r="D16" s="7" t="s">
        <v>36</v>
      </c>
      <c r="E16" s="8">
        <v>2053</v>
      </c>
      <c r="F16" s="8">
        <v>101</v>
      </c>
      <c r="G16" s="9">
        <v>1176.5</v>
      </c>
      <c r="H16" s="8">
        <v>24</v>
      </c>
      <c r="I16" s="9">
        <v>1745.22</v>
      </c>
    </row>
    <row r="17" spans="1:9" x14ac:dyDescent="0.35">
      <c r="A17" s="7" t="s">
        <v>51</v>
      </c>
      <c r="B17" s="7" t="s">
        <v>31</v>
      </c>
      <c r="C17" s="7" t="s">
        <v>35</v>
      </c>
      <c r="D17" s="7" t="s">
        <v>36</v>
      </c>
      <c r="E17" s="8">
        <v>1449</v>
      </c>
      <c r="F17" s="8">
        <v>87</v>
      </c>
      <c r="G17" s="9">
        <v>1126.02</v>
      </c>
      <c r="H17" s="8">
        <v>17</v>
      </c>
      <c r="I17" s="9">
        <v>1219.81</v>
      </c>
    </row>
    <row r="18" spans="1:9" x14ac:dyDescent="0.35">
      <c r="A18" s="7" t="s">
        <v>52</v>
      </c>
      <c r="B18" s="7" t="s">
        <v>31</v>
      </c>
      <c r="C18" s="7" t="s">
        <v>35</v>
      </c>
      <c r="D18" s="7" t="s">
        <v>33</v>
      </c>
      <c r="E18" s="8">
        <v>1791</v>
      </c>
      <c r="F18" s="8">
        <v>81</v>
      </c>
      <c r="G18" s="9">
        <v>1080.22</v>
      </c>
      <c r="H18" s="8">
        <v>12</v>
      </c>
      <c r="I18" s="9">
        <v>860.31</v>
      </c>
    </row>
    <row r="19" spans="1:9" x14ac:dyDescent="0.35">
      <c r="A19" s="7" t="s">
        <v>53</v>
      </c>
      <c r="B19" s="7" t="s">
        <v>31</v>
      </c>
      <c r="C19" s="7" t="s">
        <v>32</v>
      </c>
      <c r="D19" s="7" t="s">
        <v>33</v>
      </c>
      <c r="E19" s="8">
        <v>2091</v>
      </c>
      <c r="F19" s="8">
        <v>77</v>
      </c>
      <c r="G19" s="9">
        <v>950.38</v>
      </c>
      <c r="H19" s="8">
        <v>20</v>
      </c>
      <c r="I19" s="9">
        <v>1413.87</v>
      </c>
    </row>
    <row r="20" spans="1:9" x14ac:dyDescent="0.35">
      <c r="A20" s="7" t="s">
        <v>54</v>
      </c>
      <c r="B20" s="7" t="s">
        <v>31</v>
      </c>
      <c r="C20" s="7" t="s">
        <v>32</v>
      </c>
      <c r="D20" s="7" t="s">
        <v>36</v>
      </c>
      <c r="E20" s="8">
        <v>1395</v>
      </c>
      <c r="F20" s="8">
        <v>78</v>
      </c>
      <c r="G20" s="9">
        <v>933.21</v>
      </c>
      <c r="H20" s="8">
        <v>24</v>
      </c>
      <c r="I20" s="9">
        <v>1931.34</v>
      </c>
    </row>
    <row r="21" spans="1:9" x14ac:dyDescent="0.35">
      <c r="A21" s="7" t="s">
        <v>55</v>
      </c>
      <c r="B21" s="7" t="s">
        <v>31</v>
      </c>
      <c r="C21" s="7" t="s">
        <v>45</v>
      </c>
      <c r="D21" s="7" t="s">
        <v>36</v>
      </c>
      <c r="E21" s="8">
        <v>1057</v>
      </c>
      <c r="F21" s="8">
        <v>73</v>
      </c>
      <c r="G21" s="9">
        <v>857.71</v>
      </c>
      <c r="H21" s="8">
        <v>20</v>
      </c>
      <c r="I21" s="9">
        <v>1379.3</v>
      </c>
    </row>
    <row r="22" spans="1:9" x14ac:dyDescent="0.35">
      <c r="A22" s="7" t="s">
        <v>56</v>
      </c>
      <c r="B22" s="7" t="s">
        <v>31</v>
      </c>
      <c r="C22" s="7" t="s">
        <v>35</v>
      </c>
      <c r="D22" s="7" t="s">
        <v>33</v>
      </c>
      <c r="E22" s="8">
        <v>855</v>
      </c>
      <c r="F22" s="8">
        <v>59</v>
      </c>
      <c r="G22" s="9">
        <v>802.26</v>
      </c>
      <c r="H22" s="8">
        <v>11</v>
      </c>
      <c r="I22" s="9">
        <v>817.41</v>
      </c>
    </row>
    <row r="23" spans="1:9" x14ac:dyDescent="0.35">
      <c r="A23" s="7" t="s">
        <v>57</v>
      </c>
      <c r="B23" s="7" t="s">
        <v>31</v>
      </c>
      <c r="C23" s="7" t="s">
        <v>35</v>
      </c>
      <c r="D23" s="7" t="s">
        <v>36</v>
      </c>
      <c r="E23" s="8">
        <v>1688</v>
      </c>
      <c r="F23" s="8">
        <v>71</v>
      </c>
      <c r="G23" s="9">
        <v>795.53</v>
      </c>
      <c r="H23" s="8">
        <v>8</v>
      </c>
      <c r="I23" s="9">
        <v>544.27</v>
      </c>
    </row>
    <row r="24" spans="1:9" x14ac:dyDescent="0.35">
      <c r="A24" s="7" t="s">
        <v>58</v>
      </c>
      <c r="B24" s="7" t="s">
        <v>31</v>
      </c>
      <c r="C24" s="7" t="s">
        <v>32</v>
      </c>
      <c r="D24" s="7" t="s">
        <v>33</v>
      </c>
      <c r="E24" s="8">
        <v>1496</v>
      </c>
      <c r="F24" s="8">
        <v>62</v>
      </c>
      <c r="G24" s="9">
        <v>792.33</v>
      </c>
      <c r="H24" s="8">
        <v>8</v>
      </c>
      <c r="I24" s="9">
        <v>577.5</v>
      </c>
    </row>
    <row r="25" spans="1:9" x14ac:dyDescent="0.35">
      <c r="A25" s="7" t="s">
        <v>59</v>
      </c>
      <c r="B25" s="7" t="s">
        <v>31</v>
      </c>
      <c r="C25" s="7" t="s">
        <v>35</v>
      </c>
      <c r="D25" s="7" t="s">
        <v>33</v>
      </c>
      <c r="E25" s="8">
        <v>1132</v>
      </c>
      <c r="F25" s="8">
        <v>65</v>
      </c>
      <c r="G25" s="9">
        <v>790.83</v>
      </c>
      <c r="H25" s="8">
        <v>20</v>
      </c>
      <c r="I25" s="9">
        <v>1513.93</v>
      </c>
    </row>
    <row r="26" spans="1:9" x14ac:dyDescent="0.35">
      <c r="A26" s="7" t="s">
        <v>60</v>
      </c>
      <c r="B26" s="7" t="s">
        <v>31</v>
      </c>
      <c r="C26" s="7" t="s">
        <v>35</v>
      </c>
      <c r="D26" s="7" t="s">
        <v>33</v>
      </c>
      <c r="E26" s="8">
        <v>1313</v>
      </c>
      <c r="F26" s="8">
        <v>59</v>
      </c>
      <c r="G26" s="9">
        <v>763.56</v>
      </c>
      <c r="H26" s="8">
        <v>17</v>
      </c>
      <c r="I26" s="9">
        <v>984.13</v>
      </c>
    </row>
    <row r="27" spans="1:9" x14ac:dyDescent="0.35">
      <c r="A27" s="7" t="s">
        <v>61</v>
      </c>
      <c r="B27" s="7" t="s">
        <v>31</v>
      </c>
      <c r="C27" s="7" t="s">
        <v>32</v>
      </c>
      <c r="D27" s="7" t="s">
        <v>36</v>
      </c>
      <c r="E27" s="8">
        <v>1339</v>
      </c>
      <c r="F27" s="8">
        <v>59</v>
      </c>
      <c r="G27" s="9">
        <v>746.79</v>
      </c>
      <c r="H27" s="8">
        <v>12</v>
      </c>
      <c r="I27" s="9">
        <v>781.22</v>
      </c>
    </row>
    <row r="28" spans="1:9" x14ac:dyDescent="0.35">
      <c r="A28" s="7" t="s">
        <v>62</v>
      </c>
      <c r="B28" s="7" t="s">
        <v>31</v>
      </c>
      <c r="C28" s="7" t="s">
        <v>35</v>
      </c>
      <c r="D28" s="7" t="s">
        <v>36</v>
      </c>
      <c r="E28" s="8">
        <v>1947</v>
      </c>
      <c r="F28" s="8">
        <v>56</v>
      </c>
      <c r="G28" s="9">
        <v>690.76</v>
      </c>
      <c r="H28" s="8">
        <v>10</v>
      </c>
      <c r="I28" s="9">
        <v>583.58000000000004</v>
      </c>
    </row>
    <row r="29" spans="1:9" x14ac:dyDescent="0.35">
      <c r="A29" s="7" t="s">
        <v>63</v>
      </c>
      <c r="B29" s="7" t="s">
        <v>31</v>
      </c>
      <c r="C29" s="7" t="s">
        <v>64</v>
      </c>
      <c r="D29" s="7" t="s">
        <v>65</v>
      </c>
      <c r="E29" s="8">
        <v>1761</v>
      </c>
      <c r="F29" s="8">
        <v>58</v>
      </c>
      <c r="G29" s="9">
        <v>610.24</v>
      </c>
      <c r="H29" s="8">
        <v>8</v>
      </c>
      <c r="I29" s="9">
        <v>530.54</v>
      </c>
    </row>
    <row r="30" spans="1:9" x14ac:dyDescent="0.35">
      <c r="A30" s="7" t="s">
        <v>66</v>
      </c>
      <c r="B30" s="7" t="s">
        <v>31</v>
      </c>
      <c r="C30" s="7" t="s">
        <v>64</v>
      </c>
      <c r="D30" s="7" t="s">
        <v>65</v>
      </c>
      <c r="E30" s="8">
        <v>1156</v>
      </c>
      <c r="F30" s="8">
        <v>48</v>
      </c>
      <c r="G30" s="9">
        <v>599.76</v>
      </c>
      <c r="H30" s="8">
        <v>9</v>
      </c>
      <c r="I30" s="9">
        <v>539.77</v>
      </c>
    </row>
    <row r="31" spans="1:9" x14ac:dyDescent="0.35">
      <c r="A31" s="7" t="s">
        <v>67</v>
      </c>
      <c r="B31" s="7" t="s">
        <v>31</v>
      </c>
      <c r="C31" s="7" t="s">
        <v>32</v>
      </c>
      <c r="D31" s="7" t="s">
        <v>65</v>
      </c>
      <c r="E31" s="8">
        <v>948</v>
      </c>
      <c r="F31" s="8">
        <v>44</v>
      </c>
      <c r="G31" s="9">
        <v>592.15</v>
      </c>
      <c r="H31" s="8">
        <v>16</v>
      </c>
      <c r="I31" s="9">
        <v>1051.93</v>
      </c>
    </row>
    <row r="32" spans="1:9" x14ac:dyDescent="0.35">
      <c r="A32" s="7" t="s">
        <v>68</v>
      </c>
      <c r="B32" s="7" t="s">
        <v>31</v>
      </c>
      <c r="C32" s="7" t="s">
        <v>35</v>
      </c>
      <c r="D32" s="7" t="s">
        <v>36</v>
      </c>
      <c r="E32" s="8">
        <v>1057</v>
      </c>
      <c r="F32" s="8">
        <v>45</v>
      </c>
      <c r="G32" s="9">
        <v>589.71</v>
      </c>
      <c r="H32" s="8">
        <v>5</v>
      </c>
      <c r="I32" s="9">
        <v>345.38</v>
      </c>
    </row>
    <row r="33" spans="1:9" x14ac:dyDescent="0.35">
      <c r="A33" s="7" t="s">
        <v>69</v>
      </c>
      <c r="B33" s="7" t="s">
        <v>31</v>
      </c>
      <c r="C33" s="7" t="s">
        <v>64</v>
      </c>
      <c r="D33" s="7" t="s">
        <v>70</v>
      </c>
      <c r="E33" s="8">
        <v>871</v>
      </c>
      <c r="F33" s="8">
        <v>48</v>
      </c>
      <c r="G33" s="9">
        <v>561.04999999999995</v>
      </c>
      <c r="H33" s="8">
        <v>14</v>
      </c>
      <c r="I33" s="9">
        <v>1024.1199999999999</v>
      </c>
    </row>
    <row r="34" spans="1:9" x14ac:dyDescent="0.35">
      <c r="A34" s="7" t="s">
        <v>71</v>
      </c>
      <c r="B34" s="7" t="s">
        <v>31</v>
      </c>
      <c r="C34" s="7" t="s">
        <v>32</v>
      </c>
      <c r="D34" s="7" t="s">
        <v>70</v>
      </c>
      <c r="E34" s="8">
        <v>2112</v>
      </c>
      <c r="F34" s="8">
        <v>64</v>
      </c>
      <c r="G34" s="9">
        <v>542.80999999999995</v>
      </c>
      <c r="H34" s="8">
        <v>0</v>
      </c>
      <c r="I34" s="9">
        <v>0</v>
      </c>
    </row>
    <row r="35" spans="1:9" x14ac:dyDescent="0.35">
      <c r="A35" s="7" t="s">
        <v>72</v>
      </c>
      <c r="B35" s="7" t="s">
        <v>31</v>
      </c>
      <c r="C35" s="7" t="s">
        <v>64</v>
      </c>
      <c r="D35" s="7" t="s">
        <v>70</v>
      </c>
      <c r="E35" s="8">
        <v>1409</v>
      </c>
      <c r="F35" s="8">
        <v>56</v>
      </c>
      <c r="G35" s="9">
        <v>534.38</v>
      </c>
      <c r="H35" s="8">
        <v>11</v>
      </c>
      <c r="I35" s="9">
        <v>762.43</v>
      </c>
    </row>
    <row r="36" spans="1:9" x14ac:dyDescent="0.35">
      <c r="A36" s="7" t="s">
        <v>73</v>
      </c>
      <c r="B36" s="7" t="s">
        <v>31</v>
      </c>
      <c r="C36" s="7" t="s">
        <v>64</v>
      </c>
      <c r="D36" s="7" t="s">
        <v>70</v>
      </c>
      <c r="E36" s="8">
        <v>1020</v>
      </c>
      <c r="F36" s="8">
        <v>40</v>
      </c>
      <c r="G36" s="9">
        <v>486.32</v>
      </c>
      <c r="H36" s="8">
        <v>15</v>
      </c>
      <c r="I36" s="9">
        <v>1036.4000000000001</v>
      </c>
    </row>
    <row r="37" spans="1:9" x14ac:dyDescent="0.35">
      <c r="A37" s="7" t="s">
        <v>74</v>
      </c>
      <c r="B37" s="7" t="s">
        <v>31</v>
      </c>
      <c r="C37" s="7" t="s">
        <v>32</v>
      </c>
      <c r="D37" s="7" t="s">
        <v>70</v>
      </c>
      <c r="E37" s="8">
        <v>1105</v>
      </c>
      <c r="F37" s="8">
        <v>38</v>
      </c>
      <c r="G37" s="9">
        <v>470.37</v>
      </c>
      <c r="H37" s="8">
        <v>5</v>
      </c>
      <c r="I37" s="9">
        <v>346</v>
      </c>
    </row>
    <row r="38" spans="1:9" x14ac:dyDescent="0.35">
      <c r="A38" s="7" t="s">
        <v>75</v>
      </c>
      <c r="B38" s="7" t="s">
        <v>31</v>
      </c>
      <c r="C38" s="7" t="s">
        <v>32</v>
      </c>
      <c r="D38" s="7" t="s">
        <v>70</v>
      </c>
      <c r="E38" s="8">
        <v>963</v>
      </c>
      <c r="F38" s="8">
        <v>40</v>
      </c>
      <c r="G38" s="9">
        <v>434.17</v>
      </c>
      <c r="H38" s="8">
        <v>8</v>
      </c>
      <c r="I38" s="9">
        <v>557.12</v>
      </c>
    </row>
    <row r="39" spans="1:9" x14ac:dyDescent="0.35">
      <c r="A39" s="7" t="s">
        <v>76</v>
      </c>
      <c r="B39" s="7" t="s">
        <v>31</v>
      </c>
      <c r="C39" s="7" t="s">
        <v>45</v>
      </c>
      <c r="D39" s="7" t="s">
        <v>33</v>
      </c>
      <c r="E39" s="8">
        <v>651</v>
      </c>
      <c r="F39" s="8">
        <v>34</v>
      </c>
      <c r="G39" s="9">
        <v>407.16</v>
      </c>
      <c r="H39" s="8">
        <v>8</v>
      </c>
      <c r="I39" s="9">
        <v>585.89</v>
      </c>
    </row>
    <row r="40" spans="1:9" x14ac:dyDescent="0.35">
      <c r="A40" s="7" t="s">
        <v>77</v>
      </c>
      <c r="B40" s="7" t="s">
        <v>31</v>
      </c>
      <c r="C40" s="7" t="s">
        <v>32</v>
      </c>
      <c r="D40" s="7" t="s">
        <v>33</v>
      </c>
      <c r="E40" s="8">
        <v>1113</v>
      </c>
      <c r="F40" s="8">
        <v>35</v>
      </c>
      <c r="G40" s="9">
        <v>391.9</v>
      </c>
      <c r="H40" s="8">
        <v>3</v>
      </c>
      <c r="I40" s="9">
        <v>166.72</v>
      </c>
    </row>
    <row r="41" spans="1:9" x14ac:dyDescent="0.35">
      <c r="A41" s="7" t="s">
        <v>78</v>
      </c>
      <c r="B41" s="7" t="s">
        <v>31</v>
      </c>
      <c r="C41" s="7" t="s">
        <v>35</v>
      </c>
      <c r="D41" s="7" t="s">
        <v>33</v>
      </c>
      <c r="E41" s="8">
        <v>585</v>
      </c>
      <c r="F41" s="8">
        <v>27</v>
      </c>
      <c r="G41" s="9">
        <v>386.73</v>
      </c>
      <c r="H41" s="8">
        <v>5</v>
      </c>
      <c r="I41" s="9">
        <v>348.21</v>
      </c>
    </row>
    <row r="42" spans="1:9" x14ac:dyDescent="0.35">
      <c r="A42" s="7" t="s">
        <v>79</v>
      </c>
      <c r="B42" s="7" t="s">
        <v>31</v>
      </c>
      <c r="C42" s="7" t="s">
        <v>32</v>
      </c>
      <c r="D42" s="7" t="s">
        <v>70</v>
      </c>
      <c r="E42" s="8">
        <v>758</v>
      </c>
      <c r="F42" s="8">
        <v>34</v>
      </c>
      <c r="G42" s="9">
        <v>374.49</v>
      </c>
      <c r="H42" s="8">
        <v>5</v>
      </c>
      <c r="I42" s="9">
        <v>399.6</v>
      </c>
    </row>
    <row r="43" spans="1:9" x14ac:dyDescent="0.35">
      <c r="A43" s="7" t="s">
        <v>80</v>
      </c>
      <c r="B43" s="7" t="s">
        <v>31</v>
      </c>
      <c r="C43" s="7" t="s">
        <v>32</v>
      </c>
      <c r="D43" s="7" t="s">
        <v>65</v>
      </c>
      <c r="E43" s="8">
        <v>672</v>
      </c>
      <c r="F43" s="8">
        <v>24</v>
      </c>
      <c r="G43" s="9">
        <v>332.67</v>
      </c>
      <c r="H43" s="8">
        <v>5</v>
      </c>
      <c r="I43" s="9">
        <v>387.78</v>
      </c>
    </row>
    <row r="44" spans="1:9" x14ac:dyDescent="0.35">
      <c r="A44" s="7" t="s">
        <v>81</v>
      </c>
      <c r="B44" s="7" t="s">
        <v>31</v>
      </c>
      <c r="C44" s="7" t="s">
        <v>32</v>
      </c>
      <c r="D44" s="7" t="s">
        <v>36</v>
      </c>
      <c r="E44" s="8">
        <v>608</v>
      </c>
      <c r="F44" s="8">
        <v>27</v>
      </c>
      <c r="G44" s="9">
        <v>329.59</v>
      </c>
      <c r="H44" s="8">
        <v>7</v>
      </c>
      <c r="I44" s="9">
        <v>457.44</v>
      </c>
    </row>
    <row r="45" spans="1:9" x14ac:dyDescent="0.35">
      <c r="A45" s="7" t="s">
        <v>82</v>
      </c>
      <c r="B45" s="7" t="s">
        <v>31</v>
      </c>
      <c r="C45" s="7" t="s">
        <v>32</v>
      </c>
      <c r="D45" s="7" t="s">
        <v>65</v>
      </c>
      <c r="E45" s="8">
        <v>1109</v>
      </c>
      <c r="F45" s="8">
        <v>36</v>
      </c>
      <c r="G45" s="9">
        <v>309.8</v>
      </c>
      <c r="H45" s="8">
        <v>1</v>
      </c>
      <c r="I45" s="9">
        <v>33.43</v>
      </c>
    </row>
    <row r="46" spans="1:9" x14ac:dyDescent="0.35">
      <c r="A46" s="7" t="s">
        <v>83</v>
      </c>
      <c r="B46" s="7" t="s">
        <v>31</v>
      </c>
      <c r="C46" s="7" t="s">
        <v>32</v>
      </c>
      <c r="D46" s="7" t="s">
        <v>65</v>
      </c>
      <c r="E46" s="8">
        <v>942</v>
      </c>
      <c r="F46" s="8">
        <v>30</v>
      </c>
      <c r="G46" s="9">
        <v>289.75</v>
      </c>
      <c r="H46" s="8">
        <v>1</v>
      </c>
      <c r="I46" s="9">
        <v>39.47</v>
      </c>
    </row>
    <row r="47" spans="1:9" x14ac:dyDescent="0.35">
      <c r="A47" s="7" t="s">
        <v>84</v>
      </c>
      <c r="B47" s="7" t="s">
        <v>31</v>
      </c>
      <c r="C47" s="7" t="s">
        <v>32</v>
      </c>
      <c r="D47" s="7" t="s">
        <v>70</v>
      </c>
      <c r="E47" s="8">
        <v>856</v>
      </c>
      <c r="F47" s="8">
        <v>29</v>
      </c>
      <c r="G47" s="9">
        <v>287.94</v>
      </c>
      <c r="H47" s="8">
        <v>7</v>
      </c>
      <c r="I47" s="9">
        <v>542.66999999999996</v>
      </c>
    </row>
    <row r="48" spans="1:9" x14ac:dyDescent="0.35">
      <c r="A48" s="7" t="s">
        <v>85</v>
      </c>
      <c r="B48" s="7" t="s">
        <v>31</v>
      </c>
      <c r="C48" s="7" t="s">
        <v>32</v>
      </c>
      <c r="D48" s="7" t="s">
        <v>65</v>
      </c>
      <c r="E48" s="8">
        <v>1070</v>
      </c>
      <c r="F48" s="8">
        <v>27</v>
      </c>
      <c r="G48" s="9">
        <v>285.60000000000002</v>
      </c>
      <c r="H48" s="8">
        <v>0</v>
      </c>
      <c r="I48" s="9">
        <v>0</v>
      </c>
    </row>
    <row r="49" spans="1:9" x14ac:dyDescent="0.35">
      <c r="A49" s="7" t="s">
        <v>86</v>
      </c>
      <c r="B49" s="7" t="s">
        <v>31</v>
      </c>
      <c r="C49" s="7" t="s">
        <v>32</v>
      </c>
      <c r="D49" s="7" t="s">
        <v>65</v>
      </c>
      <c r="E49" s="8">
        <v>2046</v>
      </c>
      <c r="F49" s="8">
        <v>31</v>
      </c>
      <c r="G49" s="9">
        <v>280.36</v>
      </c>
      <c r="H49" s="8">
        <v>0</v>
      </c>
      <c r="I49" s="9">
        <v>0</v>
      </c>
    </row>
    <row r="50" spans="1:9" x14ac:dyDescent="0.35">
      <c r="A50" s="7" t="s">
        <v>87</v>
      </c>
      <c r="B50" s="7" t="s">
        <v>31</v>
      </c>
      <c r="C50" s="7" t="s">
        <v>32</v>
      </c>
      <c r="D50" s="7" t="s">
        <v>36</v>
      </c>
      <c r="E50" s="8">
        <v>600</v>
      </c>
      <c r="F50" s="8">
        <v>25</v>
      </c>
      <c r="G50" s="9">
        <v>279.58999999999997</v>
      </c>
      <c r="H50" s="8">
        <v>3</v>
      </c>
      <c r="I50" s="9">
        <v>177.57</v>
      </c>
    </row>
    <row r="51" spans="1:9" x14ac:dyDescent="0.35">
      <c r="A51" s="7" t="s">
        <v>88</v>
      </c>
      <c r="B51" s="7" t="s">
        <v>31</v>
      </c>
      <c r="C51" s="7" t="s">
        <v>32</v>
      </c>
      <c r="D51" s="7" t="s">
        <v>70</v>
      </c>
      <c r="E51" s="8">
        <v>1039</v>
      </c>
      <c r="F51" s="8">
        <v>36</v>
      </c>
      <c r="G51" s="9">
        <v>272.45</v>
      </c>
      <c r="H51" s="8">
        <v>1</v>
      </c>
      <c r="I51" s="9">
        <v>35.86</v>
      </c>
    </row>
    <row r="52" spans="1:9" x14ac:dyDescent="0.35">
      <c r="A52" s="7" t="s">
        <v>89</v>
      </c>
      <c r="B52" s="7" t="s">
        <v>31</v>
      </c>
      <c r="C52" s="7" t="s">
        <v>32</v>
      </c>
      <c r="D52" s="7" t="s">
        <v>70</v>
      </c>
      <c r="E52" s="8">
        <v>928</v>
      </c>
      <c r="F52" s="8">
        <v>32</v>
      </c>
      <c r="G52" s="9">
        <v>266.64999999999998</v>
      </c>
      <c r="H52" s="8">
        <v>0</v>
      </c>
      <c r="I52" s="9">
        <v>0</v>
      </c>
    </row>
    <row r="53" spans="1:9" x14ac:dyDescent="0.35">
      <c r="A53" s="7" t="s">
        <v>90</v>
      </c>
      <c r="B53" s="7" t="s">
        <v>31</v>
      </c>
      <c r="C53" s="7" t="s">
        <v>32</v>
      </c>
      <c r="D53" s="7" t="s">
        <v>65</v>
      </c>
      <c r="E53" s="8">
        <v>1703</v>
      </c>
      <c r="F53" s="8">
        <v>27</v>
      </c>
      <c r="G53" s="9">
        <v>254.68</v>
      </c>
      <c r="H53" s="8">
        <v>1</v>
      </c>
      <c r="I53" s="9">
        <v>36.090000000000003</v>
      </c>
    </row>
    <row r="54" spans="1:9" x14ac:dyDescent="0.35">
      <c r="A54" s="7" t="s">
        <v>91</v>
      </c>
      <c r="B54" s="7" t="s">
        <v>31</v>
      </c>
      <c r="C54" s="7" t="s">
        <v>32</v>
      </c>
      <c r="D54" s="7" t="s">
        <v>65</v>
      </c>
      <c r="E54" s="8">
        <v>1301</v>
      </c>
      <c r="F54" s="8">
        <v>30</v>
      </c>
      <c r="G54" s="9">
        <v>249.98</v>
      </c>
      <c r="H54" s="8">
        <v>0</v>
      </c>
      <c r="I54" s="9">
        <v>0</v>
      </c>
    </row>
    <row r="55" spans="1:9" x14ac:dyDescent="0.35">
      <c r="A55" s="7" t="s">
        <v>92</v>
      </c>
      <c r="B55" s="7" t="s">
        <v>31</v>
      </c>
      <c r="C55" s="7" t="s">
        <v>32</v>
      </c>
      <c r="D55" s="7" t="s">
        <v>65</v>
      </c>
      <c r="E55" s="8">
        <v>2056</v>
      </c>
      <c r="F55" s="8">
        <v>30</v>
      </c>
      <c r="G55" s="9">
        <v>246.05</v>
      </c>
      <c r="H55" s="8">
        <v>0</v>
      </c>
      <c r="I55" s="9">
        <v>0</v>
      </c>
    </row>
    <row r="56" spans="1:9" x14ac:dyDescent="0.35">
      <c r="A56" s="7" t="s">
        <v>93</v>
      </c>
      <c r="B56" s="7" t="s">
        <v>31</v>
      </c>
      <c r="C56" s="7" t="s">
        <v>64</v>
      </c>
      <c r="D56" s="7" t="s">
        <v>70</v>
      </c>
      <c r="E56" s="8">
        <v>499</v>
      </c>
      <c r="F56" s="8">
        <v>21</v>
      </c>
      <c r="G56" s="9">
        <v>242.19</v>
      </c>
      <c r="H56" s="8">
        <v>3</v>
      </c>
      <c r="I56" s="9">
        <v>199.75</v>
      </c>
    </row>
    <row r="57" spans="1:9" x14ac:dyDescent="0.35">
      <c r="A57" s="7" t="s">
        <v>94</v>
      </c>
      <c r="B57" s="7" t="s">
        <v>31</v>
      </c>
      <c r="C57" s="7" t="s">
        <v>32</v>
      </c>
      <c r="D57" s="7" t="s">
        <v>65</v>
      </c>
      <c r="E57" s="8">
        <v>1071</v>
      </c>
      <c r="F57" s="8">
        <v>24</v>
      </c>
      <c r="G57" s="9">
        <v>232.98</v>
      </c>
      <c r="H57" s="8">
        <v>0</v>
      </c>
      <c r="I57" s="9">
        <v>0</v>
      </c>
    </row>
    <row r="58" spans="1:9" x14ac:dyDescent="0.35">
      <c r="A58" s="7" t="s">
        <v>95</v>
      </c>
      <c r="B58" s="7" t="s">
        <v>31</v>
      </c>
      <c r="C58" s="7" t="s">
        <v>32</v>
      </c>
      <c r="D58" s="7" t="s">
        <v>65</v>
      </c>
      <c r="E58" s="8">
        <v>1262</v>
      </c>
      <c r="F58" s="8">
        <v>27</v>
      </c>
      <c r="G58" s="9">
        <v>227.3</v>
      </c>
      <c r="H58" s="8">
        <v>0</v>
      </c>
      <c r="I58" s="9">
        <v>0</v>
      </c>
    </row>
    <row r="59" spans="1:9" x14ac:dyDescent="0.35">
      <c r="A59" s="7" t="s">
        <v>96</v>
      </c>
      <c r="B59" s="7" t="s">
        <v>31</v>
      </c>
      <c r="C59" s="7" t="s">
        <v>32</v>
      </c>
      <c r="D59" s="7" t="s">
        <v>65</v>
      </c>
      <c r="E59" s="8">
        <v>1389</v>
      </c>
      <c r="F59" s="8">
        <v>22</v>
      </c>
      <c r="G59" s="9">
        <v>225.48</v>
      </c>
      <c r="H59" s="8">
        <v>0</v>
      </c>
      <c r="I59" s="9">
        <v>0</v>
      </c>
    </row>
    <row r="60" spans="1:9" x14ac:dyDescent="0.35">
      <c r="A60" s="7" t="s">
        <v>97</v>
      </c>
      <c r="B60" s="7" t="s">
        <v>31</v>
      </c>
      <c r="C60" s="7" t="s">
        <v>32</v>
      </c>
      <c r="D60" s="7" t="s">
        <v>70</v>
      </c>
      <c r="E60" s="8">
        <v>1637</v>
      </c>
      <c r="F60" s="8">
        <v>26</v>
      </c>
      <c r="G60" s="9">
        <v>205.73</v>
      </c>
      <c r="H60" s="8">
        <v>0</v>
      </c>
      <c r="I60" s="9">
        <v>0</v>
      </c>
    </row>
    <row r="61" spans="1:9" x14ac:dyDescent="0.35">
      <c r="A61" s="7" t="s">
        <v>98</v>
      </c>
      <c r="B61" s="7" t="s">
        <v>31</v>
      </c>
      <c r="C61" s="7" t="s">
        <v>32</v>
      </c>
      <c r="D61" s="7" t="s">
        <v>65</v>
      </c>
      <c r="E61" s="8">
        <v>1289</v>
      </c>
      <c r="F61" s="8">
        <v>30</v>
      </c>
      <c r="G61" s="9">
        <v>199.75</v>
      </c>
      <c r="H61" s="8">
        <v>0</v>
      </c>
      <c r="I61" s="9">
        <v>0</v>
      </c>
    </row>
    <row r="62" spans="1:9" x14ac:dyDescent="0.35">
      <c r="A62" s="7" t="s">
        <v>99</v>
      </c>
      <c r="B62" s="7" t="s">
        <v>31</v>
      </c>
      <c r="C62" s="7" t="s">
        <v>32</v>
      </c>
      <c r="D62" s="7" t="s">
        <v>70</v>
      </c>
      <c r="E62" s="8">
        <v>888</v>
      </c>
      <c r="F62" s="8">
        <v>24</v>
      </c>
      <c r="G62" s="9">
        <v>178.78</v>
      </c>
      <c r="H62" s="8">
        <v>0</v>
      </c>
      <c r="I62" s="9">
        <v>0</v>
      </c>
    </row>
    <row r="63" spans="1:9" x14ac:dyDescent="0.35">
      <c r="A63" s="7" t="s">
        <v>100</v>
      </c>
      <c r="B63" s="7" t="s">
        <v>31</v>
      </c>
      <c r="C63" s="7" t="s">
        <v>32</v>
      </c>
      <c r="D63" s="7" t="s">
        <v>70</v>
      </c>
      <c r="E63" s="8">
        <v>710</v>
      </c>
      <c r="F63" s="8">
        <v>20</v>
      </c>
      <c r="G63" s="9">
        <v>175.45</v>
      </c>
      <c r="H63" s="8">
        <v>1</v>
      </c>
      <c r="I63" s="9">
        <v>47.95</v>
      </c>
    </row>
    <row r="64" spans="1:9" x14ac:dyDescent="0.35">
      <c r="A64" s="7" t="s">
        <v>101</v>
      </c>
      <c r="B64" s="7" t="s">
        <v>31</v>
      </c>
      <c r="C64" s="7" t="s">
        <v>32</v>
      </c>
      <c r="D64" s="7" t="s">
        <v>70</v>
      </c>
      <c r="E64" s="8">
        <v>948</v>
      </c>
      <c r="F64" s="8">
        <v>17</v>
      </c>
      <c r="G64" s="9">
        <v>165.96</v>
      </c>
      <c r="H64" s="8">
        <v>1</v>
      </c>
      <c r="I64" s="9">
        <v>46.85</v>
      </c>
    </row>
    <row r="65" spans="1:9" x14ac:dyDescent="0.35">
      <c r="A65" s="7" t="s">
        <v>102</v>
      </c>
      <c r="B65" s="7" t="s">
        <v>31</v>
      </c>
      <c r="C65" s="7" t="s">
        <v>32</v>
      </c>
      <c r="D65" s="7" t="s">
        <v>70</v>
      </c>
      <c r="E65" s="8">
        <v>1062</v>
      </c>
      <c r="F65" s="8">
        <v>16</v>
      </c>
      <c r="G65" s="9">
        <v>165.87</v>
      </c>
      <c r="H65" s="8">
        <v>0</v>
      </c>
      <c r="I65" s="9">
        <v>0</v>
      </c>
    </row>
    <row r="66" spans="1:9" x14ac:dyDescent="0.35">
      <c r="A66" s="7" t="s">
        <v>103</v>
      </c>
      <c r="B66" s="7" t="s">
        <v>31</v>
      </c>
      <c r="C66" s="7" t="s">
        <v>32</v>
      </c>
      <c r="D66" s="7" t="s">
        <v>65</v>
      </c>
      <c r="E66" s="8">
        <v>432</v>
      </c>
      <c r="F66" s="8">
        <v>14</v>
      </c>
      <c r="G66" s="9">
        <v>164.36</v>
      </c>
      <c r="H66" s="8">
        <v>1</v>
      </c>
      <c r="I66" s="9">
        <v>34.880000000000003</v>
      </c>
    </row>
    <row r="67" spans="1:9" x14ac:dyDescent="0.35">
      <c r="A67" s="7" t="s">
        <v>104</v>
      </c>
      <c r="B67" s="7" t="s">
        <v>31</v>
      </c>
      <c r="C67" s="7" t="s">
        <v>32</v>
      </c>
      <c r="D67" s="7" t="s">
        <v>65</v>
      </c>
      <c r="E67" s="8">
        <v>875</v>
      </c>
      <c r="F67" s="8">
        <v>17</v>
      </c>
      <c r="G67" s="9">
        <v>156.59</v>
      </c>
      <c r="H67" s="8">
        <v>0</v>
      </c>
      <c r="I67" s="9">
        <v>0</v>
      </c>
    </row>
    <row r="68" spans="1:9" x14ac:dyDescent="0.35">
      <c r="A68" s="7" t="s">
        <v>105</v>
      </c>
      <c r="B68" s="7" t="s">
        <v>31</v>
      </c>
      <c r="C68" s="7" t="s">
        <v>32</v>
      </c>
      <c r="D68" s="7" t="s">
        <v>70</v>
      </c>
      <c r="E68" s="8">
        <v>420</v>
      </c>
      <c r="F68" s="8">
        <v>12</v>
      </c>
      <c r="G68" s="9">
        <v>145.21</v>
      </c>
      <c r="H68" s="8">
        <v>0</v>
      </c>
      <c r="I68" s="9">
        <v>0</v>
      </c>
    </row>
    <row r="69" spans="1:9" x14ac:dyDescent="0.35">
      <c r="A69" s="7" t="s">
        <v>106</v>
      </c>
      <c r="B69" s="7" t="s">
        <v>31</v>
      </c>
      <c r="C69" s="7" t="s">
        <v>32</v>
      </c>
      <c r="D69" s="7" t="s">
        <v>65</v>
      </c>
      <c r="E69" s="8">
        <v>277</v>
      </c>
      <c r="F69" s="8">
        <v>13</v>
      </c>
      <c r="G69" s="9">
        <v>142.72999999999999</v>
      </c>
      <c r="H69" s="8">
        <v>2</v>
      </c>
      <c r="I69" s="9">
        <v>78.599999999999994</v>
      </c>
    </row>
    <row r="70" spans="1:9" x14ac:dyDescent="0.35">
      <c r="A70" s="7" t="s">
        <v>107</v>
      </c>
      <c r="B70" s="7" t="s">
        <v>31</v>
      </c>
      <c r="C70" s="7" t="s">
        <v>32</v>
      </c>
      <c r="D70" s="7" t="s">
        <v>65</v>
      </c>
      <c r="E70" s="8">
        <v>620</v>
      </c>
      <c r="F70" s="8">
        <v>14</v>
      </c>
      <c r="G70" s="9">
        <v>141.78</v>
      </c>
      <c r="H70" s="8">
        <v>2</v>
      </c>
      <c r="I70" s="9">
        <v>125.95</v>
      </c>
    </row>
    <row r="71" spans="1:9" x14ac:dyDescent="0.35">
      <c r="A71" s="7" t="s">
        <v>108</v>
      </c>
      <c r="B71" s="7" t="s">
        <v>31</v>
      </c>
      <c r="C71" s="7" t="s">
        <v>32</v>
      </c>
      <c r="D71" s="7" t="s">
        <v>70</v>
      </c>
      <c r="E71" s="8">
        <v>692</v>
      </c>
      <c r="F71" s="8">
        <v>12</v>
      </c>
      <c r="G71" s="9">
        <v>130.15</v>
      </c>
      <c r="H71" s="8">
        <v>0</v>
      </c>
      <c r="I71" s="9">
        <v>0</v>
      </c>
    </row>
    <row r="72" spans="1:9" x14ac:dyDescent="0.35">
      <c r="A72" s="7" t="s">
        <v>109</v>
      </c>
      <c r="B72" s="7" t="s">
        <v>31</v>
      </c>
      <c r="C72" s="7" t="s">
        <v>32</v>
      </c>
      <c r="D72" s="7" t="s">
        <v>65</v>
      </c>
      <c r="E72" s="8">
        <v>674</v>
      </c>
      <c r="F72" s="8">
        <v>13</v>
      </c>
      <c r="G72" s="9">
        <v>123.82</v>
      </c>
      <c r="H72" s="8">
        <v>0</v>
      </c>
      <c r="I72" s="9">
        <v>0</v>
      </c>
    </row>
    <row r="73" spans="1:9" x14ac:dyDescent="0.35">
      <c r="A73" s="7" t="s">
        <v>110</v>
      </c>
      <c r="B73" s="7" t="s">
        <v>31</v>
      </c>
      <c r="C73" s="7" t="s">
        <v>32</v>
      </c>
      <c r="D73" s="7" t="s">
        <v>70</v>
      </c>
      <c r="E73" s="8">
        <v>734</v>
      </c>
      <c r="F73" s="8">
        <v>11</v>
      </c>
      <c r="G73" s="9">
        <v>119.73</v>
      </c>
      <c r="H73" s="8">
        <v>0</v>
      </c>
      <c r="I73" s="9">
        <v>0</v>
      </c>
    </row>
    <row r="74" spans="1:9" x14ac:dyDescent="0.35">
      <c r="A74" s="7" t="s">
        <v>111</v>
      </c>
      <c r="B74" s="7" t="s">
        <v>31</v>
      </c>
      <c r="C74" s="7" t="s">
        <v>35</v>
      </c>
      <c r="D74" s="7" t="s">
        <v>70</v>
      </c>
      <c r="E74" s="8">
        <v>387</v>
      </c>
      <c r="F74" s="8">
        <v>11</v>
      </c>
      <c r="G74" s="9">
        <v>118.61</v>
      </c>
      <c r="H74" s="8">
        <v>0</v>
      </c>
      <c r="I74" s="9">
        <v>0</v>
      </c>
    </row>
    <row r="75" spans="1:9" x14ac:dyDescent="0.35">
      <c r="A75" s="7" t="s">
        <v>112</v>
      </c>
      <c r="B75" s="7" t="s">
        <v>31</v>
      </c>
      <c r="C75" s="7" t="s">
        <v>32</v>
      </c>
      <c r="D75" s="7" t="s">
        <v>70</v>
      </c>
      <c r="E75" s="8">
        <v>452</v>
      </c>
      <c r="F75" s="8">
        <v>12</v>
      </c>
      <c r="G75" s="9">
        <v>105.61</v>
      </c>
      <c r="H75" s="8">
        <v>0</v>
      </c>
      <c r="I75" s="9">
        <v>0</v>
      </c>
    </row>
    <row r="76" spans="1:9" x14ac:dyDescent="0.35">
      <c r="A76" s="7" t="s">
        <v>113</v>
      </c>
      <c r="B76" s="7" t="s">
        <v>31</v>
      </c>
      <c r="C76" s="7" t="s">
        <v>32</v>
      </c>
      <c r="D76" s="7" t="s">
        <v>65</v>
      </c>
      <c r="E76" s="8">
        <v>618</v>
      </c>
      <c r="F76" s="8">
        <v>11</v>
      </c>
      <c r="G76" s="9">
        <v>99.4</v>
      </c>
      <c r="H76" s="8">
        <v>0</v>
      </c>
      <c r="I76" s="9">
        <v>0</v>
      </c>
    </row>
    <row r="77" spans="1:9" x14ac:dyDescent="0.35">
      <c r="A77" s="7" t="s">
        <v>114</v>
      </c>
      <c r="B77" s="7" t="s">
        <v>31</v>
      </c>
      <c r="C77" s="7" t="s">
        <v>32</v>
      </c>
      <c r="D77" s="7" t="s">
        <v>65</v>
      </c>
      <c r="E77" s="8">
        <v>485</v>
      </c>
      <c r="F77" s="8">
        <v>12</v>
      </c>
      <c r="G77" s="9">
        <v>96.36</v>
      </c>
      <c r="H77" s="8">
        <v>0</v>
      </c>
      <c r="I77" s="9">
        <v>0</v>
      </c>
    </row>
    <row r="78" spans="1:9" x14ac:dyDescent="0.35">
      <c r="A78" s="7" t="s">
        <v>115</v>
      </c>
      <c r="B78" s="7" t="s">
        <v>31</v>
      </c>
      <c r="C78" s="7" t="s">
        <v>45</v>
      </c>
      <c r="D78" s="7" t="s">
        <v>65</v>
      </c>
      <c r="E78" s="8">
        <v>531</v>
      </c>
      <c r="F78" s="8">
        <v>12</v>
      </c>
      <c r="G78" s="9">
        <v>86.85</v>
      </c>
      <c r="H78" s="8">
        <v>0</v>
      </c>
      <c r="I78" s="9">
        <v>0</v>
      </c>
    </row>
    <row r="79" spans="1:9" x14ac:dyDescent="0.35">
      <c r="A79" s="7" t="s">
        <v>116</v>
      </c>
      <c r="B79" s="7" t="s">
        <v>31</v>
      </c>
      <c r="C79" s="7" t="s">
        <v>32</v>
      </c>
      <c r="D79" s="7" t="s">
        <v>36</v>
      </c>
      <c r="E79" s="8">
        <v>254</v>
      </c>
      <c r="F79" s="8">
        <v>7</v>
      </c>
      <c r="G79" s="9">
        <v>85.71</v>
      </c>
      <c r="H79" s="8">
        <v>1</v>
      </c>
      <c r="I79" s="9">
        <v>71.569999999999993</v>
      </c>
    </row>
    <row r="80" spans="1:9" x14ac:dyDescent="0.35">
      <c r="A80" s="7" t="s">
        <v>117</v>
      </c>
      <c r="B80" s="7" t="s">
        <v>31</v>
      </c>
      <c r="C80" s="7" t="s">
        <v>32</v>
      </c>
      <c r="D80" s="7" t="s">
        <v>70</v>
      </c>
      <c r="E80" s="8">
        <v>534</v>
      </c>
      <c r="F80" s="8">
        <v>11</v>
      </c>
      <c r="G80" s="9">
        <v>81.64</v>
      </c>
      <c r="H80" s="8">
        <v>0</v>
      </c>
      <c r="I80" s="9">
        <v>0</v>
      </c>
    </row>
    <row r="81" spans="1:9" x14ac:dyDescent="0.35">
      <c r="A81" s="7" t="s">
        <v>118</v>
      </c>
      <c r="B81" s="7" t="s">
        <v>31</v>
      </c>
      <c r="C81" s="7" t="s">
        <v>32</v>
      </c>
      <c r="D81" s="7" t="s">
        <v>70</v>
      </c>
      <c r="E81" s="8">
        <v>353</v>
      </c>
      <c r="F81" s="8">
        <v>7</v>
      </c>
      <c r="G81" s="9">
        <v>78.14</v>
      </c>
      <c r="H81" s="8">
        <v>0</v>
      </c>
      <c r="I81" s="9">
        <v>0</v>
      </c>
    </row>
    <row r="82" spans="1:9" x14ac:dyDescent="0.35">
      <c r="A82" s="7" t="s">
        <v>119</v>
      </c>
      <c r="B82" s="7" t="s">
        <v>31</v>
      </c>
      <c r="C82" s="7" t="s">
        <v>32</v>
      </c>
      <c r="D82" s="7" t="s">
        <v>70</v>
      </c>
      <c r="E82" s="8">
        <v>442</v>
      </c>
      <c r="F82" s="8">
        <v>8</v>
      </c>
      <c r="G82" s="9">
        <v>78.040000000000006</v>
      </c>
      <c r="H82" s="8">
        <v>0</v>
      </c>
      <c r="I82" s="9">
        <v>0</v>
      </c>
    </row>
    <row r="83" spans="1:9" x14ac:dyDescent="0.35">
      <c r="A83" s="7" t="s">
        <v>120</v>
      </c>
      <c r="B83" s="7" t="s">
        <v>31</v>
      </c>
      <c r="C83" s="7" t="s">
        <v>32</v>
      </c>
      <c r="D83" s="7" t="s">
        <v>65</v>
      </c>
      <c r="E83" s="8">
        <v>701</v>
      </c>
      <c r="F83" s="8">
        <v>9</v>
      </c>
      <c r="G83" s="9">
        <v>72.36</v>
      </c>
      <c r="H83" s="8">
        <v>0</v>
      </c>
      <c r="I83" s="9">
        <v>0</v>
      </c>
    </row>
    <row r="84" spans="1:9" x14ac:dyDescent="0.35">
      <c r="A84" s="7" t="s">
        <v>121</v>
      </c>
      <c r="B84" s="7" t="s">
        <v>31</v>
      </c>
      <c r="C84" s="7" t="s">
        <v>32</v>
      </c>
      <c r="D84" s="7" t="s">
        <v>70</v>
      </c>
      <c r="E84" s="8">
        <v>507</v>
      </c>
      <c r="F84" s="8">
        <v>6</v>
      </c>
      <c r="G84" s="9">
        <v>69.430000000000007</v>
      </c>
      <c r="H84" s="8">
        <v>0</v>
      </c>
      <c r="I84" s="9">
        <v>0</v>
      </c>
    </row>
    <row r="85" spans="1:9" x14ac:dyDescent="0.35">
      <c r="A85" s="7" t="s">
        <v>122</v>
      </c>
      <c r="B85" s="7" t="s">
        <v>31</v>
      </c>
      <c r="C85" s="7" t="s">
        <v>32</v>
      </c>
      <c r="D85" s="7" t="s">
        <v>65</v>
      </c>
      <c r="E85" s="8">
        <v>374</v>
      </c>
      <c r="F85" s="8">
        <v>8</v>
      </c>
      <c r="G85" s="9">
        <v>63.57</v>
      </c>
      <c r="H85" s="8">
        <v>0</v>
      </c>
      <c r="I85" s="9">
        <v>0</v>
      </c>
    </row>
    <row r="86" spans="1:9" x14ac:dyDescent="0.35">
      <c r="A86" s="7" t="s">
        <v>123</v>
      </c>
      <c r="B86" s="7" t="s">
        <v>31</v>
      </c>
      <c r="C86" s="7" t="s">
        <v>35</v>
      </c>
      <c r="D86" s="7" t="s">
        <v>65</v>
      </c>
      <c r="E86" s="8">
        <v>142</v>
      </c>
      <c r="F86" s="8">
        <v>4</v>
      </c>
      <c r="G86" s="9">
        <v>51.78</v>
      </c>
      <c r="H86" s="8">
        <v>1</v>
      </c>
      <c r="I86" s="9">
        <v>51.53</v>
      </c>
    </row>
    <row r="87" spans="1:9" x14ac:dyDescent="0.35">
      <c r="A87" s="7" t="s">
        <v>124</v>
      </c>
      <c r="B87" s="7" t="s">
        <v>31</v>
      </c>
      <c r="C87" s="7" t="s">
        <v>32</v>
      </c>
      <c r="D87" s="7" t="s">
        <v>65</v>
      </c>
      <c r="E87" s="8">
        <v>432</v>
      </c>
      <c r="F87" s="8">
        <v>5</v>
      </c>
      <c r="G87" s="9">
        <v>50.64</v>
      </c>
      <c r="H87" s="8">
        <v>0</v>
      </c>
      <c r="I87" s="9">
        <v>0</v>
      </c>
    </row>
    <row r="88" spans="1:9" x14ac:dyDescent="0.35">
      <c r="A88" s="7" t="s">
        <v>125</v>
      </c>
      <c r="B88" s="7" t="s">
        <v>31</v>
      </c>
      <c r="C88" s="7" t="s">
        <v>32</v>
      </c>
      <c r="D88" s="7" t="s">
        <v>70</v>
      </c>
      <c r="E88" s="8">
        <v>385</v>
      </c>
      <c r="F88" s="8">
        <v>4</v>
      </c>
      <c r="G88" s="9">
        <v>38.79</v>
      </c>
      <c r="H88" s="8">
        <v>0</v>
      </c>
      <c r="I88" s="9">
        <v>0</v>
      </c>
    </row>
    <row r="89" spans="1:9" x14ac:dyDescent="0.35">
      <c r="A89" s="7" t="s">
        <v>126</v>
      </c>
      <c r="B89" s="7" t="s">
        <v>31</v>
      </c>
      <c r="C89" s="7" t="s">
        <v>32</v>
      </c>
      <c r="D89" s="7" t="s">
        <v>65</v>
      </c>
      <c r="E89" s="8">
        <v>403</v>
      </c>
      <c r="F89" s="8">
        <v>4</v>
      </c>
      <c r="G89" s="9">
        <v>36.21</v>
      </c>
      <c r="H89" s="8">
        <v>0</v>
      </c>
      <c r="I89" s="9">
        <v>0</v>
      </c>
    </row>
    <row r="90" spans="1:9" x14ac:dyDescent="0.35">
      <c r="A90" s="7" t="s">
        <v>127</v>
      </c>
      <c r="B90" s="7" t="s">
        <v>31</v>
      </c>
      <c r="C90" s="7" t="s">
        <v>32</v>
      </c>
      <c r="D90" s="7" t="s">
        <v>70</v>
      </c>
      <c r="E90" s="8">
        <v>362</v>
      </c>
      <c r="F90" s="8">
        <v>3</v>
      </c>
      <c r="G90" s="9">
        <v>32.130000000000003</v>
      </c>
      <c r="H90" s="8">
        <v>0</v>
      </c>
      <c r="I90" s="9">
        <v>0</v>
      </c>
    </row>
    <row r="91" spans="1:9" x14ac:dyDescent="0.35">
      <c r="A91" s="7" t="s">
        <v>128</v>
      </c>
      <c r="B91" s="7" t="s">
        <v>129</v>
      </c>
      <c r="C91" s="7" t="s">
        <v>130</v>
      </c>
      <c r="D91" s="7" t="s">
        <v>33</v>
      </c>
      <c r="E91" s="8">
        <v>16677</v>
      </c>
      <c r="F91" s="8">
        <v>1100</v>
      </c>
      <c r="G91" s="9">
        <v>6218.3</v>
      </c>
      <c r="H91" s="8">
        <v>324</v>
      </c>
      <c r="I91" s="9">
        <v>7358.03</v>
      </c>
    </row>
    <row r="92" spans="1:9" x14ac:dyDescent="0.35">
      <c r="A92" s="7" t="s">
        <v>131</v>
      </c>
      <c r="B92" s="7" t="s">
        <v>129</v>
      </c>
      <c r="C92" s="7" t="s">
        <v>130</v>
      </c>
      <c r="D92" s="7" t="s">
        <v>33</v>
      </c>
      <c r="E92" s="8">
        <v>17736</v>
      </c>
      <c r="F92" s="8">
        <v>1070</v>
      </c>
      <c r="G92" s="9">
        <v>6011.96</v>
      </c>
      <c r="H92" s="8">
        <v>381</v>
      </c>
      <c r="I92" s="9">
        <v>9151.85</v>
      </c>
    </row>
    <row r="93" spans="1:9" x14ac:dyDescent="0.35">
      <c r="A93" s="7" t="s">
        <v>132</v>
      </c>
      <c r="B93" s="7" t="s">
        <v>129</v>
      </c>
      <c r="C93" s="7" t="s">
        <v>130</v>
      </c>
      <c r="D93" s="7" t="s">
        <v>33</v>
      </c>
      <c r="E93" s="8">
        <v>10732</v>
      </c>
      <c r="F93" s="8">
        <v>777</v>
      </c>
      <c r="G93" s="9">
        <v>4032.36</v>
      </c>
      <c r="H93" s="8">
        <v>305</v>
      </c>
      <c r="I93" s="9">
        <v>7842.72</v>
      </c>
    </row>
    <row r="94" spans="1:9" x14ac:dyDescent="0.35">
      <c r="A94" s="7" t="s">
        <v>133</v>
      </c>
      <c r="B94" s="7" t="s">
        <v>129</v>
      </c>
      <c r="C94" s="7" t="s">
        <v>130</v>
      </c>
      <c r="D94" s="7" t="s">
        <v>36</v>
      </c>
      <c r="E94" s="8">
        <v>10143</v>
      </c>
      <c r="F94" s="8">
        <v>590</v>
      </c>
      <c r="G94" s="9">
        <v>3991.03</v>
      </c>
      <c r="H94" s="8">
        <v>177</v>
      </c>
      <c r="I94" s="9">
        <v>4089.45</v>
      </c>
    </row>
    <row r="95" spans="1:9" x14ac:dyDescent="0.35">
      <c r="A95" s="7" t="s">
        <v>134</v>
      </c>
      <c r="B95" s="7" t="s">
        <v>129</v>
      </c>
      <c r="C95" s="7" t="s">
        <v>135</v>
      </c>
      <c r="D95" s="7" t="s">
        <v>33</v>
      </c>
      <c r="E95" s="8">
        <v>9495</v>
      </c>
      <c r="F95" s="8">
        <v>542</v>
      </c>
      <c r="G95" s="9">
        <v>3252.26</v>
      </c>
      <c r="H95" s="8">
        <v>231</v>
      </c>
      <c r="I95" s="9">
        <v>5163.49</v>
      </c>
    </row>
    <row r="96" spans="1:9" x14ac:dyDescent="0.35">
      <c r="A96" s="7" t="s">
        <v>136</v>
      </c>
      <c r="B96" s="7" t="s">
        <v>129</v>
      </c>
      <c r="C96" s="7" t="s">
        <v>137</v>
      </c>
      <c r="D96" s="7" t="s">
        <v>36</v>
      </c>
      <c r="E96" s="8">
        <v>9467</v>
      </c>
      <c r="F96" s="8">
        <v>501</v>
      </c>
      <c r="G96" s="9">
        <v>3021.89</v>
      </c>
      <c r="H96" s="8">
        <v>150</v>
      </c>
      <c r="I96" s="9">
        <v>3381.39</v>
      </c>
    </row>
    <row r="97" spans="1:9" x14ac:dyDescent="0.35">
      <c r="A97" s="7" t="s">
        <v>138</v>
      </c>
      <c r="B97" s="7" t="s">
        <v>129</v>
      </c>
      <c r="C97" s="7" t="s">
        <v>130</v>
      </c>
      <c r="D97" s="7" t="s">
        <v>33</v>
      </c>
      <c r="E97" s="8">
        <v>8374</v>
      </c>
      <c r="F97" s="8">
        <v>440</v>
      </c>
      <c r="G97" s="9">
        <v>2764.58</v>
      </c>
      <c r="H97" s="8">
        <v>125</v>
      </c>
      <c r="I97" s="9">
        <v>3215.09</v>
      </c>
    </row>
    <row r="98" spans="1:9" x14ac:dyDescent="0.35">
      <c r="A98" s="7" t="s">
        <v>139</v>
      </c>
      <c r="B98" s="7" t="s">
        <v>129</v>
      </c>
      <c r="C98" s="7" t="s">
        <v>137</v>
      </c>
      <c r="D98" s="7" t="s">
        <v>36</v>
      </c>
      <c r="E98" s="8">
        <v>10372</v>
      </c>
      <c r="F98" s="8">
        <v>450</v>
      </c>
      <c r="G98" s="9">
        <v>2745.38</v>
      </c>
      <c r="H98" s="8">
        <v>176</v>
      </c>
      <c r="I98" s="9">
        <v>3676.9</v>
      </c>
    </row>
    <row r="99" spans="1:9" x14ac:dyDescent="0.35">
      <c r="A99" s="7" t="s">
        <v>140</v>
      </c>
      <c r="B99" s="7" t="s">
        <v>129</v>
      </c>
      <c r="C99" s="7" t="s">
        <v>130</v>
      </c>
      <c r="D99" s="7" t="s">
        <v>36</v>
      </c>
      <c r="E99" s="8">
        <v>6899</v>
      </c>
      <c r="F99" s="8">
        <v>396</v>
      </c>
      <c r="G99" s="9">
        <v>2667.13</v>
      </c>
      <c r="H99" s="8">
        <v>129</v>
      </c>
      <c r="I99" s="9">
        <v>2916.09</v>
      </c>
    </row>
    <row r="100" spans="1:9" x14ac:dyDescent="0.35">
      <c r="A100" s="7" t="s">
        <v>141</v>
      </c>
      <c r="B100" s="7" t="s">
        <v>129</v>
      </c>
      <c r="C100" s="7" t="s">
        <v>135</v>
      </c>
      <c r="D100" s="7" t="s">
        <v>33</v>
      </c>
      <c r="E100" s="8">
        <v>9108</v>
      </c>
      <c r="F100" s="8">
        <v>466</v>
      </c>
      <c r="G100" s="9">
        <v>2570.63</v>
      </c>
      <c r="H100" s="8">
        <v>159</v>
      </c>
      <c r="I100" s="9">
        <v>3268.94</v>
      </c>
    </row>
    <row r="101" spans="1:9" x14ac:dyDescent="0.35">
      <c r="A101" s="7" t="s">
        <v>142</v>
      </c>
      <c r="B101" s="7" t="s">
        <v>129</v>
      </c>
      <c r="C101" s="7" t="s">
        <v>137</v>
      </c>
      <c r="D101" s="7" t="s">
        <v>36</v>
      </c>
      <c r="E101" s="8">
        <v>5934</v>
      </c>
      <c r="F101" s="8">
        <v>324</v>
      </c>
      <c r="G101" s="9">
        <v>2328.46</v>
      </c>
      <c r="H101" s="8">
        <v>99</v>
      </c>
      <c r="I101" s="9">
        <v>2350.5</v>
      </c>
    </row>
    <row r="102" spans="1:9" x14ac:dyDescent="0.35">
      <c r="A102" s="7" t="s">
        <v>143</v>
      </c>
      <c r="B102" s="7" t="s">
        <v>129</v>
      </c>
      <c r="C102" s="7" t="s">
        <v>130</v>
      </c>
      <c r="D102" s="7" t="s">
        <v>36</v>
      </c>
      <c r="E102" s="8">
        <v>7734</v>
      </c>
      <c r="F102" s="8">
        <v>396</v>
      </c>
      <c r="G102" s="9">
        <v>2238.62</v>
      </c>
      <c r="H102" s="8">
        <v>162</v>
      </c>
      <c r="I102" s="9">
        <v>3619.31</v>
      </c>
    </row>
    <row r="103" spans="1:9" x14ac:dyDescent="0.35">
      <c r="A103" s="7" t="s">
        <v>144</v>
      </c>
      <c r="B103" s="7" t="s">
        <v>129</v>
      </c>
      <c r="C103" s="7" t="s">
        <v>130</v>
      </c>
      <c r="D103" s="7" t="s">
        <v>36</v>
      </c>
      <c r="E103" s="8">
        <v>7149</v>
      </c>
      <c r="F103" s="8">
        <v>363</v>
      </c>
      <c r="G103" s="9">
        <v>2159.62</v>
      </c>
      <c r="H103" s="8">
        <v>118</v>
      </c>
      <c r="I103" s="9">
        <v>2561.0100000000002</v>
      </c>
    </row>
    <row r="104" spans="1:9" x14ac:dyDescent="0.35">
      <c r="A104" s="7" t="s">
        <v>145</v>
      </c>
      <c r="B104" s="7" t="s">
        <v>129</v>
      </c>
      <c r="C104" s="7" t="s">
        <v>130</v>
      </c>
      <c r="D104" s="7" t="s">
        <v>36</v>
      </c>
      <c r="E104" s="8">
        <v>5572</v>
      </c>
      <c r="F104" s="8">
        <v>290</v>
      </c>
      <c r="G104" s="9">
        <v>1924.69</v>
      </c>
      <c r="H104" s="8">
        <v>108</v>
      </c>
      <c r="I104" s="9">
        <v>2293.1</v>
      </c>
    </row>
    <row r="105" spans="1:9" x14ac:dyDescent="0.35">
      <c r="A105" s="7" t="s">
        <v>146</v>
      </c>
      <c r="B105" s="7" t="s">
        <v>129</v>
      </c>
      <c r="C105" s="7" t="s">
        <v>130</v>
      </c>
      <c r="D105" s="7" t="s">
        <v>33</v>
      </c>
      <c r="E105" s="8">
        <v>4668</v>
      </c>
      <c r="F105" s="8">
        <v>315</v>
      </c>
      <c r="G105" s="9">
        <v>1802.44</v>
      </c>
      <c r="H105" s="8">
        <v>144</v>
      </c>
      <c r="I105" s="9">
        <v>3156.7</v>
      </c>
    </row>
    <row r="106" spans="1:9" x14ac:dyDescent="0.35">
      <c r="A106" s="7" t="s">
        <v>147</v>
      </c>
      <c r="B106" s="7" t="s">
        <v>129</v>
      </c>
      <c r="C106" s="7" t="s">
        <v>137</v>
      </c>
      <c r="D106" s="7" t="s">
        <v>33</v>
      </c>
      <c r="E106" s="8">
        <v>5523</v>
      </c>
      <c r="F106" s="8">
        <v>263</v>
      </c>
      <c r="G106" s="9">
        <v>1748.62</v>
      </c>
      <c r="H106" s="8">
        <v>84</v>
      </c>
      <c r="I106" s="9">
        <v>1949.23</v>
      </c>
    </row>
    <row r="107" spans="1:9" x14ac:dyDescent="0.35">
      <c r="A107" s="7" t="s">
        <v>148</v>
      </c>
      <c r="B107" s="7" t="s">
        <v>129</v>
      </c>
      <c r="C107" s="7" t="s">
        <v>130</v>
      </c>
      <c r="D107" s="7" t="s">
        <v>36</v>
      </c>
      <c r="E107" s="8">
        <v>5886</v>
      </c>
      <c r="F107" s="8">
        <v>302</v>
      </c>
      <c r="G107" s="9">
        <v>1731.31</v>
      </c>
      <c r="H107" s="8">
        <v>102</v>
      </c>
      <c r="I107" s="9">
        <v>2520.06</v>
      </c>
    </row>
    <row r="108" spans="1:9" x14ac:dyDescent="0.35">
      <c r="A108" s="7" t="s">
        <v>149</v>
      </c>
      <c r="B108" s="7" t="s">
        <v>129</v>
      </c>
      <c r="C108" s="7" t="s">
        <v>135</v>
      </c>
      <c r="D108" s="7" t="s">
        <v>36</v>
      </c>
      <c r="E108" s="8">
        <v>3925</v>
      </c>
      <c r="F108" s="8">
        <v>229</v>
      </c>
      <c r="G108" s="9">
        <v>1625.78</v>
      </c>
      <c r="H108" s="8">
        <v>87</v>
      </c>
      <c r="I108" s="9">
        <v>1681.08</v>
      </c>
    </row>
    <row r="109" spans="1:9" x14ac:dyDescent="0.35">
      <c r="A109" s="7" t="s">
        <v>150</v>
      </c>
      <c r="B109" s="7" t="s">
        <v>129</v>
      </c>
      <c r="C109" s="7" t="s">
        <v>130</v>
      </c>
      <c r="D109" s="7" t="s">
        <v>36</v>
      </c>
      <c r="E109" s="8">
        <v>3821</v>
      </c>
      <c r="F109" s="8">
        <v>193</v>
      </c>
      <c r="G109" s="9">
        <v>1314.67</v>
      </c>
      <c r="H109" s="8">
        <v>61</v>
      </c>
      <c r="I109" s="9">
        <v>1420.06</v>
      </c>
    </row>
    <row r="110" spans="1:9" x14ac:dyDescent="0.35">
      <c r="A110" s="7" t="s">
        <v>151</v>
      </c>
      <c r="B110" s="7" t="s">
        <v>129</v>
      </c>
      <c r="C110" s="7" t="s">
        <v>135</v>
      </c>
      <c r="D110" s="7" t="s">
        <v>33</v>
      </c>
      <c r="E110" s="8">
        <v>4370</v>
      </c>
      <c r="F110" s="8">
        <v>216</v>
      </c>
      <c r="G110" s="9">
        <v>1294.78</v>
      </c>
      <c r="H110" s="8">
        <v>96</v>
      </c>
      <c r="I110" s="9">
        <v>2153.0300000000002</v>
      </c>
    </row>
    <row r="111" spans="1:9" x14ac:dyDescent="0.35">
      <c r="A111" s="7" t="s">
        <v>152</v>
      </c>
      <c r="B111" s="7" t="s">
        <v>129</v>
      </c>
      <c r="C111" s="7" t="s">
        <v>130</v>
      </c>
      <c r="D111" s="7" t="s">
        <v>36</v>
      </c>
      <c r="E111" s="8">
        <v>4450</v>
      </c>
      <c r="F111" s="8">
        <v>231</v>
      </c>
      <c r="G111" s="9">
        <v>1288.3800000000001</v>
      </c>
      <c r="H111" s="8">
        <v>73</v>
      </c>
      <c r="I111" s="9">
        <v>1796.61</v>
      </c>
    </row>
    <row r="112" spans="1:9" x14ac:dyDescent="0.35">
      <c r="A112" s="7" t="s">
        <v>153</v>
      </c>
      <c r="B112" s="7" t="s">
        <v>129</v>
      </c>
      <c r="C112" s="7" t="s">
        <v>137</v>
      </c>
      <c r="D112" s="7" t="s">
        <v>36</v>
      </c>
      <c r="E112" s="8">
        <v>3425</v>
      </c>
      <c r="F112" s="8">
        <v>181</v>
      </c>
      <c r="G112" s="9">
        <v>1155</v>
      </c>
      <c r="H112" s="8">
        <v>71</v>
      </c>
      <c r="I112" s="9">
        <v>1754.62</v>
      </c>
    </row>
    <row r="113" spans="1:9" x14ac:dyDescent="0.35">
      <c r="A113" s="7" t="s">
        <v>154</v>
      </c>
      <c r="B113" s="7" t="s">
        <v>129</v>
      </c>
      <c r="C113" s="7" t="s">
        <v>130</v>
      </c>
      <c r="D113" s="7" t="s">
        <v>36</v>
      </c>
      <c r="E113" s="8">
        <v>2667</v>
      </c>
      <c r="F113" s="8">
        <v>199</v>
      </c>
      <c r="G113" s="9">
        <v>1130.44</v>
      </c>
      <c r="H113" s="8">
        <v>86</v>
      </c>
      <c r="I113" s="9">
        <v>2046.64</v>
      </c>
    </row>
    <row r="114" spans="1:9" x14ac:dyDescent="0.35">
      <c r="A114" s="7" t="s">
        <v>155</v>
      </c>
      <c r="B114" s="7" t="s">
        <v>129</v>
      </c>
      <c r="C114" s="7" t="s">
        <v>137</v>
      </c>
      <c r="D114" s="7" t="s">
        <v>33</v>
      </c>
      <c r="E114" s="8">
        <v>3753</v>
      </c>
      <c r="F114" s="8">
        <v>177</v>
      </c>
      <c r="G114" s="9">
        <v>1034.55</v>
      </c>
      <c r="H114" s="8">
        <v>55</v>
      </c>
      <c r="I114" s="9">
        <v>1059.28</v>
      </c>
    </row>
    <row r="115" spans="1:9" x14ac:dyDescent="0.35">
      <c r="A115" s="7" t="s">
        <v>156</v>
      </c>
      <c r="B115" s="7" t="s">
        <v>129</v>
      </c>
      <c r="C115" s="7" t="s">
        <v>130</v>
      </c>
      <c r="D115" s="7" t="s">
        <v>33</v>
      </c>
      <c r="E115" s="8">
        <v>2991</v>
      </c>
      <c r="F115" s="8">
        <v>166</v>
      </c>
      <c r="G115" s="9">
        <v>1013.61</v>
      </c>
      <c r="H115" s="8">
        <v>65</v>
      </c>
      <c r="I115" s="9">
        <v>1491.79</v>
      </c>
    </row>
    <row r="116" spans="1:9" x14ac:dyDescent="0.35">
      <c r="A116" s="7" t="s">
        <v>157</v>
      </c>
      <c r="B116" s="7" t="s">
        <v>129</v>
      </c>
      <c r="C116" s="7" t="s">
        <v>130</v>
      </c>
      <c r="D116" s="7" t="s">
        <v>36</v>
      </c>
      <c r="E116" s="8">
        <v>3028</v>
      </c>
      <c r="F116" s="8">
        <v>157</v>
      </c>
      <c r="G116" s="9">
        <v>988.47</v>
      </c>
      <c r="H116" s="8">
        <v>63</v>
      </c>
      <c r="I116" s="9">
        <v>1385.3</v>
      </c>
    </row>
    <row r="117" spans="1:9" x14ac:dyDescent="0.35">
      <c r="A117" s="7" t="s">
        <v>158</v>
      </c>
      <c r="B117" s="7" t="s">
        <v>129</v>
      </c>
      <c r="C117" s="7" t="s">
        <v>130</v>
      </c>
      <c r="D117" s="7" t="s">
        <v>36</v>
      </c>
      <c r="E117" s="8">
        <v>3344</v>
      </c>
      <c r="F117" s="8">
        <v>144</v>
      </c>
      <c r="G117" s="9">
        <v>910.27</v>
      </c>
      <c r="H117" s="8">
        <v>65</v>
      </c>
      <c r="I117" s="9">
        <v>1636.8</v>
      </c>
    </row>
    <row r="118" spans="1:9" x14ac:dyDescent="0.35">
      <c r="A118" s="7" t="s">
        <v>159</v>
      </c>
      <c r="B118" s="7" t="s">
        <v>129</v>
      </c>
      <c r="C118" s="7" t="s">
        <v>137</v>
      </c>
      <c r="D118" s="7" t="s">
        <v>70</v>
      </c>
      <c r="E118" s="8">
        <v>9734</v>
      </c>
      <c r="F118" s="8">
        <v>195</v>
      </c>
      <c r="G118" s="9">
        <v>841.58</v>
      </c>
      <c r="H118" s="8">
        <v>3</v>
      </c>
      <c r="I118" s="9">
        <v>37.19</v>
      </c>
    </row>
    <row r="119" spans="1:9" x14ac:dyDescent="0.35">
      <c r="A119" s="7" t="s">
        <v>160</v>
      </c>
      <c r="B119" s="7" t="s">
        <v>129</v>
      </c>
      <c r="C119" s="7" t="s">
        <v>130</v>
      </c>
      <c r="D119" s="7" t="s">
        <v>36</v>
      </c>
      <c r="E119" s="8">
        <v>1965</v>
      </c>
      <c r="F119" s="8">
        <v>101</v>
      </c>
      <c r="G119" s="9">
        <v>816.21</v>
      </c>
      <c r="H119" s="8">
        <v>37</v>
      </c>
      <c r="I119" s="9">
        <v>841.99</v>
      </c>
    </row>
    <row r="120" spans="1:9" x14ac:dyDescent="0.35">
      <c r="A120" s="7" t="s">
        <v>161</v>
      </c>
      <c r="B120" s="7" t="s">
        <v>129</v>
      </c>
      <c r="C120" s="7" t="s">
        <v>135</v>
      </c>
      <c r="D120" s="7" t="s">
        <v>33</v>
      </c>
      <c r="E120" s="8">
        <v>2737</v>
      </c>
      <c r="F120" s="8">
        <v>146</v>
      </c>
      <c r="G120" s="9">
        <v>767.75</v>
      </c>
      <c r="H120" s="8">
        <v>45</v>
      </c>
      <c r="I120" s="9">
        <v>877.76</v>
      </c>
    </row>
    <row r="121" spans="1:9" x14ac:dyDescent="0.35">
      <c r="A121" s="7" t="s">
        <v>162</v>
      </c>
      <c r="B121" s="7" t="s">
        <v>129</v>
      </c>
      <c r="C121" s="7" t="s">
        <v>130</v>
      </c>
      <c r="D121" s="7" t="s">
        <v>65</v>
      </c>
      <c r="E121" s="8">
        <v>3723</v>
      </c>
      <c r="F121" s="8">
        <v>156</v>
      </c>
      <c r="G121" s="9">
        <v>745.74</v>
      </c>
      <c r="H121" s="8">
        <v>0</v>
      </c>
      <c r="I121" s="9">
        <v>0</v>
      </c>
    </row>
    <row r="122" spans="1:9" x14ac:dyDescent="0.35">
      <c r="A122" s="7" t="s">
        <v>163</v>
      </c>
      <c r="B122" s="7" t="s">
        <v>129</v>
      </c>
      <c r="C122" s="7" t="s">
        <v>137</v>
      </c>
      <c r="D122" s="7" t="s">
        <v>36</v>
      </c>
      <c r="E122" s="8">
        <v>2135</v>
      </c>
      <c r="F122" s="8">
        <v>114</v>
      </c>
      <c r="G122" s="9">
        <v>697.14</v>
      </c>
      <c r="H122" s="8">
        <v>41</v>
      </c>
      <c r="I122" s="9">
        <v>842.62</v>
      </c>
    </row>
    <row r="123" spans="1:9" x14ac:dyDescent="0.35">
      <c r="A123" s="7" t="s">
        <v>164</v>
      </c>
      <c r="B123" s="7" t="s">
        <v>129</v>
      </c>
      <c r="C123" s="7" t="s">
        <v>130</v>
      </c>
      <c r="D123" s="7" t="s">
        <v>33</v>
      </c>
      <c r="E123" s="8">
        <v>2549</v>
      </c>
      <c r="F123" s="8">
        <v>116</v>
      </c>
      <c r="G123" s="9">
        <v>685.72</v>
      </c>
      <c r="H123" s="8">
        <v>50</v>
      </c>
      <c r="I123" s="9">
        <v>1163.74</v>
      </c>
    </row>
    <row r="124" spans="1:9" x14ac:dyDescent="0.35">
      <c r="A124" s="7" t="s">
        <v>165</v>
      </c>
      <c r="B124" s="7" t="s">
        <v>129</v>
      </c>
      <c r="C124" s="7" t="s">
        <v>130</v>
      </c>
      <c r="D124" s="7" t="s">
        <v>65</v>
      </c>
      <c r="E124" s="8">
        <v>4211</v>
      </c>
      <c r="F124" s="8">
        <v>108</v>
      </c>
      <c r="G124" s="9">
        <v>662.27</v>
      </c>
      <c r="H124" s="8">
        <v>0</v>
      </c>
      <c r="I124" s="9">
        <v>0</v>
      </c>
    </row>
    <row r="125" spans="1:9" x14ac:dyDescent="0.35">
      <c r="A125" s="7" t="s">
        <v>166</v>
      </c>
      <c r="B125" s="7" t="s">
        <v>129</v>
      </c>
      <c r="C125" s="7" t="s">
        <v>167</v>
      </c>
      <c r="D125" s="7" t="s">
        <v>33</v>
      </c>
      <c r="E125" s="8">
        <v>2720</v>
      </c>
      <c r="F125" s="8">
        <v>125</v>
      </c>
      <c r="G125" s="9">
        <v>639.33000000000004</v>
      </c>
      <c r="H125" s="8">
        <v>35</v>
      </c>
      <c r="I125" s="9">
        <v>835.25</v>
      </c>
    </row>
    <row r="126" spans="1:9" x14ac:dyDescent="0.35">
      <c r="A126" s="7" t="s">
        <v>168</v>
      </c>
      <c r="B126" s="7" t="s">
        <v>129</v>
      </c>
      <c r="C126" s="7" t="s">
        <v>130</v>
      </c>
      <c r="D126" s="7" t="s">
        <v>70</v>
      </c>
      <c r="E126" s="8">
        <v>4928</v>
      </c>
      <c r="F126" s="8">
        <v>112</v>
      </c>
      <c r="G126" s="9">
        <v>630.92999999999995</v>
      </c>
      <c r="H126" s="8">
        <v>3</v>
      </c>
      <c r="I126" s="9">
        <v>35.57</v>
      </c>
    </row>
    <row r="127" spans="1:9" x14ac:dyDescent="0.35">
      <c r="A127" s="7" t="s">
        <v>169</v>
      </c>
      <c r="B127" s="7" t="s">
        <v>129</v>
      </c>
      <c r="C127" s="7" t="s">
        <v>137</v>
      </c>
      <c r="D127" s="7" t="s">
        <v>70</v>
      </c>
      <c r="E127" s="8">
        <v>1928</v>
      </c>
      <c r="F127" s="8">
        <v>119</v>
      </c>
      <c r="G127" s="9">
        <v>624.72</v>
      </c>
      <c r="H127" s="8">
        <v>39</v>
      </c>
      <c r="I127" s="9">
        <v>947.27</v>
      </c>
    </row>
    <row r="128" spans="1:9" x14ac:dyDescent="0.35">
      <c r="A128" s="7" t="s">
        <v>170</v>
      </c>
      <c r="B128" s="7" t="s">
        <v>129</v>
      </c>
      <c r="C128" s="7" t="s">
        <v>130</v>
      </c>
      <c r="D128" s="7" t="s">
        <v>33</v>
      </c>
      <c r="E128" s="8">
        <v>2642</v>
      </c>
      <c r="F128" s="8">
        <v>106</v>
      </c>
      <c r="G128" s="9">
        <v>600.71</v>
      </c>
      <c r="H128" s="8">
        <v>36</v>
      </c>
      <c r="I128" s="9">
        <v>816.3</v>
      </c>
    </row>
    <row r="129" spans="1:9" x14ac:dyDescent="0.35">
      <c r="A129" s="7" t="s">
        <v>171</v>
      </c>
      <c r="B129" s="7" t="s">
        <v>129</v>
      </c>
      <c r="C129" s="7" t="s">
        <v>130</v>
      </c>
      <c r="D129" s="7" t="s">
        <v>70</v>
      </c>
      <c r="E129" s="8">
        <v>1652</v>
      </c>
      <c r="F129" s="8">
        <v>100</v>
      </c>
      <c r="G129" s="9">
        <v>579.82000000000005</v>
      </c>
      <c r="H129" s="8">
        <v>43</v>
      </c>
      <c r="I129" s="9">
        <v>948.59</v>
      </c>
    </row>
    <row r="130" spans="1:9" x14ac:dyDescent="0.35">
      <c r="A130" s="7" t="s">
        <v>172</v>
      </c>
      <c r="B130" s="7" t="s">
        <v>129</v>
      </c>
      <c r="C130" s="7" t="s">
        <v>130</v>
      </c>
      <c r="D130" s="7" t="s">
        <v>70</v>
      </c>
      <c r="E130" s="8">
        <v>5054</v>
      </c>
      <c r="F130" s="8">
        <v>113</v>
      </c>
      <c r="G130" s="9">
        <v>579.33000000000004</v>
      </c>
      <c r="H130" s="8">
        <v>22</v>
      </c>
      <c r="I130" s="9">
        <v>476.81</v>
      </c>
    </row>
    <row r="131" spans="1:9" x14ac:dyDescent="0.35">
      <c r="A131" s="7" t="s">
        <v>173</v>
      </c>
      <c r="B131" s="7" t="s">
        <v>129</v>
      </c>
      <c r="C131" s="7" t="s">
        <v>130</v>
      </c>
      <c r="D131" s="7" t="s">
        <v>65</v>
      </c>
      <c r="E131" s="8">
        <v>4589</v>
      </c>
      <c r="F131" s="8">
        <v>110</v>
      </c>
      <c r="G131" s="9">
        <v>556.39</v>
      </c>
      <c r="H131" s="8">
        <v>7</v>
      </c>
      <c r="I131" s="9">
        <v>104.67</v>
      </c>
    </row>
    <row r="132" spans="1:9" x14ac:dyDescent="0.35">
      <c r="A132" s="7" t="s">
        <v>174</v>
      </c>
      <c r="B132" s="7" t="s">
        <v>129</v>
      </c>
      <c r="C132" s="7" t="s">
        <v>135</v>
      </c>
      <c r="D132" s="7" t="s">
        <v>33</v>
      </c>
      <c r="E132" s="8">
        <v>1572</v>
      </c>
      <c r="F132" s="8">
        <v>90</v>
      </c>
      <c r="G132" s="9">
        <v>556.16</v>
      </c>
      <c r="H132" s="8">
        <v>24</v>
      </c>
      <c r="I132" s="9">
        <v>513.98</v>
      </c>
    </row>
    <row r="133" spans="1:9" x14ac:dyDescent="0.35">
      <c r="A133" s="7" t="s">
        <v>175</v>
      </c>
      <c r="B133" s="7" t="s">
        <v>129</v>
      </c>
      <c r="C133" s="7" t="s">
        <v>167</v>
      </c>
      <c r="D133" s="7" t="s">
        <v>65</v>
      </c>
      <c r="E133" s="8">
        <v>1959</v>
      </c>
      <c r="F133" s="8">
        <v>113</v>
      </c>
      <c r="G133" s="9">
        <v>553.9</v>
      </c>
      <c r="H133" s="8">
        <v>43</v>
      </c>
      <c r="I133" s="9">
        <v>951.99</v>
      </c>
    </row>
    <row r="134" spans="1:9" x14ac:dyDescent="0.35">
      <c r="A134" s="7" t="s">
        <v>176</v>
      </c>
      <c r="B134" s="7" t="s">
        <v>129</v>
      </c>
      <c r="C134" s="7" t="s">
        <v>137</v>
      </c>
      <c r="D134" s="7" t="s">
        <v>65</v>
      </c>
      <c r="E134" s="8">
        <v>3036</v>
      </c>
      <c r="F134" s="8">
        <v>127</v>
      </c>
      <c r="G134" s="9">
        <v>530.55999999999995</v>
      </c>
      <c r="H134" s="8">
        <v>2</v>
      </c>
      <c r="I134" s="9">
        <v>24.65</v>
      </c>
    </row>
    <row r="135" spans="1:9" x14ac:dyDescent="0.35">
      <c r="A135" s="7" t="s">
        <v>177</v>
      </c>
      <c r="B135" s="7" t="s">
        <v>129</v>
      </c>
      <c r="C135" s="7" t="s">
        <v>130</v>
      </c>
      <c r="D135" s="7" t="s">
        <v>33</v>
      </c>
      <c r="E135" s="8">
        <v>1910</v>
      </c>
      <c r="F135" s="8">
        <v>86</v>
      </c>
      <c r="G135" s="9">
        <v>491.47</v>
      </c>
      <c r="H135" s="8">
        <v>30</v>
      </c>
      <c r="I135" s="9">
        <v>583.37</v>
      </c>
    </row>
    <row r="136" spans="1:9" x14ac:dyDescent="0.35">
      <c r="A136" s="7" t="s">
        <v>178</v>
      </c>
      <c r="B136" s="7" t="s">
        <v>129</v>
      </c>
      <c r="C136" s="7" t="s">
        <v>137</v>
      </c>
      <c r="D136" s="7" t="s">
        <v>70</v>
      </c>
      <c r="E136" s="8">
        <v>3635</v>
      </c>
      <c r="F136" s="8">
        <v>102</v>
      </c>
      <c r="G136" s="9">
        <v>464.63</v>
      </c>
      <c r="H136" s="8">
        <v>6</v>
      </c>
      <c r="I136" s="9">
        <v>91.64</v>
      </c>
    </row>
    <row r="137" spans="1:9" x14ac:dyDescent="0.35">
      <c r="A137" s="7" t="s">
        <v>179</v>
      </c>
      <c r="B137" s="7" t="s">
        <v>129</v>
      </c>
      <c r="C137" s="7" t="s">
        <v>137</v>
      </c>
      <c r="D137" s="7" t="s">
        <v>70</v>
      </c>
      <c r="E137" s="8">
        <v>1107</v>
      </c>
      <c r="F137" s="8">
        <v>76</v>
      </c>
      <c r="G137" s="9">
        <v>464.41</v>
      </c>
      <c r="H137" s="8">
        <v>27</v>
      </c>
      <c r="I137" s="9">
        <v>610.22</v>
      </c>
    </row>
    <row r="138" spans="1:9" x14ac:dyDescent="0.35">
      <c r="A138" s="7" t="s">
        <v>180</v>
      </c>
      <c r="B138" s="7" t="s">
        <v>129</v>
      </c>
      <c r="C138" s="7" t="s">
        <v>137</v>
      </c>
      <c r="D138" s="7" t="s">
        <v>70</v>
      </c>
      <c r="E138" s="8">
        <v>1634</v>
      </c>
      <c r="F138" s="8">
        <v>92</v>
      </c>
      <c r="G138" s="9">
        <v>451.25</v>
      </c>
      <c r="H138" s="8">
        <v>26</v>
      </c>
      <c r="I138" s="9">
        <v>605.44000000000005</v>
      </c>
    </row>
    <row r="139" spans="1:9" x14ac:dyDescent="0.35">
      <c r="A139" s="7" t="s">
        <v>181</v>
      </c>
      <c r="B139" s="7" t="s">
        <v>129</v>
      </c>
      <c r="C139" s="7" t="s">
        <v>130</v>
      </c>
      <c r="D139" s="7" t="s">
        <v>65</v>
      </c>
      <c r="E139" s="8">
        <v>2975</v>
      </c>
      <c r="F139" s="8">
        <v>81</v>
      </c>
      <c r="G139" s="9">
        <v>423.09</v>
      </c>
      <c r="H139" s="8">
        <v>0</v>
      </c>
      <c r="I139" s="9">
        <v>0</v>
      </c>
    </row>
    <row r="140" spans="1:9" x14ac:dyDescent="0.35">
      <c r="A140" s="7" t="s">
        <v>182</v>
      </c>
      <c r="B140" s="7" t="s">
        <v>129</v>
      </c>
      <c r="C140" s="7" t="s">
        <v>135</v>
      </c>
      <c r="D140" s="7" t="s">
        <v>65</v>
      </c>
      <c r="E140" s="8">
        <v>5924</v>
      </c>
      <c r="F140" s="8">
        <v>97</v>
      </c>
      <c r="G140" s="9">
        <v>419.52</v>
      </c>
      <c r="H140" s="8">
        <v>1</v>
      </c>
      <c r="I140" s="9">
        <v>13.23</v>
      </c>
    </row>
    <row r="141" spans="1:9" x14ac:dyDescent="0.35">
      <c r="A141" s="7" t="s">
        <v>183</v>
      </c>
      <c r="B141" s="7" t="s">
        <v>129</v>
      </c>
      <c r="C141" s="7" t="s">
        <v>167</v>
      </c>
      <c r="D141" s="7" t="s">
        <v>70</v>
      </c>
      <c r="E141" s="8">
        <v>1361</v>
      </c>
      <c r="F141" s="8">
        <v>80</v>
      </c>
      <c r="G141" s="9">
        <v>415.79</v>
      </c>
      <c r="H141" s="8">
        <v>36</v>
      </c>
      <c r="I141" s="9">
        <v>836.29</v>
      </c>
    </row>
    <row r="142" spans="1:9" x14ac:dyDescent="0.35">
      <c r="A142" s="7" t="s">
        <v>184</v>
      </c>
      <c r="B142" s="7" t="s">
        <v>129</v>
      </c>
      <c r="C142" s="7" t="s">
        <v>130</v>
      </c>
      <c r="D142" s="7" t="s">
        <v>70</v>
      </c>
      <c r="E142" s="8">
        <v>2500</v>
      </c>
      <c r="F142" s="8">
        <v>70</v>
      </c>
      <c r="G142" s="9">
        <v>373.15</v>
      </c>
      <c r="H142" s="8">
        <v>3</v>
      </c>
      <c r="I142" s="9">
        <v>49.02</v>
      </c>
    </row>
    <row r="143" spans="1:9" x14ac:dyDescent="0.35">
      <c r="A143" s="7" t="s">
        <v>185</v>
      </c>
      <c r="B143" s="7" t="s">
        <v>129</v>
      </c>
      <c r="C143" s="7" t="s">
        <v>130</v>
      </c>
      <c r="D143" s="7" t="s">
        <v>65</v>
      </c>
      <c r="E143" s="8">
        <v>4993</v>
      </c>
      <c r="F143" s="8">
        <v>74</v>
      </c>
      <c r="G143" s="9">
        <v>369.74</v>
      </c>
      <c r="H143" s="8">
        <v>2</v>
      </c>
      <c r="I143" s="9">
        <v>26.12</v>
      </c>
    </row>
    <row r="144" spans="1:9" x14ac:dyDescent="0.35">
      <c r="A144" s="7" t="s">
        <v>186</v>
      </c>
      <c r="B144" s="7" t="s">
        <v>129</v>
      </c>
      <c r="C144" s="7" t="s">
        <v>130</v>
      </c>
      <c r="D144" s="7" t="s">
        <v>33</v>
      </c>
      <c r="E144" s="8">
        <v>902</v>
      </c>
      <c r="F144" s="8">
        <v>60</v>
      </c>
      <c r="G144" s="9">
        <v>368.46</v>
      </c>
      <c r="H144" s="8">
        <v>20</v>
      </c>
      <c r="I144" s="9">
        <v>518.14</v>
      </c>
    </row>
    <row r="145" spans="1:9" x14ac:dyDescent="0.35">
      <c r="A145" s="7" t="s">
        <v>187</v>
      </c>
      <c r="B145" s="7" t="s">
        <v>129</v>
      </c>
      <c r="C145" s="7" t="s">
        <v>130</v>
      </c>
      <c r="D145" s="7" t="s">
        <v>65</v>
      </c>
      <c r="E145" s="8">
        <v>2341</v>
      </c>
      <c r="F145" s="8">
        <v>78</v>
      </c>
      <c r="G145" s="9">
        <v>366.95</v>
      </c>
      <c r="H145" s="8">
        <v>10</v>
      </c>
      <c r="I145" s="9">
        <v>110.13</v>
      </c>
    </row>
    <row r="146" spans="1:9" x14ac:dyDescent="0.35">
      <c r="A146" s="7" t="s">
        <v>188</v>
      </c>
      <c r="B146" s="7" t="s">
        <v>129</v>
      </c>
      <c r="C146" s="7" t="s">
        <v>130</v>
      </c>
      <c r="D146" s="7" t="s">
        <v>70</v>
      </c>
      <c r="E146" s="8">
        <v>1326</v>
      </c>
      <c r="F146" s="8">
        <v>60</v>
      </c>
      <c r="G146" s="9">
        <v>359.8</v>
      </c>
      <c r="H146" s="8">
        <v>20</v>
      </c>
      <c r="I146" s="9">
        <v>490.69</v>
      </c>
    </row>
    <row r="147" spans="1:9" x14ac:dyDescent="0.35">
      <c r="A147" s="7" t="s">
        <v>189</v>
      </c>
      <c r="B147" s="7" t="s">
        <v>129</v>
      </c>
      <c r="C147" s="7" t="s">
        <v>130</v>
      </c>
      <c r="D147" s="7" t="s">
        <v>70</v>
      </c>
      <c r="E147" s="8">
        <v>3206</v>
      </c>
      <c r="F147" s="8">
        <v>71</v>
      </c>
      <c r="G147" s="9">
        <v>354.48</v>
      </c>
      <c r="H147" s="8">
        <v>2</v>
      </c>
      <c r="I147" s="9">
        <v>29.43</v>
      </c>
    </row>
    <row r="148" spans="1:9" x14ac:dyDescent="0.35">
      <c r="A148" s="7" t="s">
        <v>190</v>
      </c>
      <c r="B148" s="7" t="s">
        <v>129</v>
      </c>
      <c r="C148" s="7" t="s">
        <v>130</v>
      </c>
      <c r="D148" s="7" t="s">
        <v>70</v>
      </c>
      <c r="E148" s="8">
        <v>3319</v>
      </c>
      <c r="F148" s="8">
        <v>70</v>
      </c>
      <c r="G148" s="9">
        <v>353.76</v>
      </c>
      <c r="H148" s="8">
        <v>3</v>
      </c>
      <c r="I148" s="9">
        <v>44.27</v>
      </c>
    </row>
    <row r="149" spans="1:9" x14ac:dyDescent="0.35">
      <c r="A149" s="7" t="s">
        <v>191</v>
      </c>
      <c r="B149" s="7" t="s">
        <v>129</v>
      </c>
      <c r="C149" s="7" t="s">
        <v>130</v>
      </c>
      <c r="D149" s="7" t="s">
        <v>65</v>
      </c>
      <c r="E149" s="8">
        <v>2541</v>
      </c>
      <c r="F149" s="8">
        <v>98</v>
      </c>
      <c r="G149" s="9">
        <v>353.72</v>
      </c>
      <c r="H149" s="8">
        <v>2</v>
      </c>
      <c r="I149" s="9">
        <v>25.53</v>
      </c>
    </row>
    <row r="150" spans="1:9" x14ac:dyDescent="0.35">
      <c r="A150" s="7" t="s">
        <v>192</v>
      </c>
      <c r="B150" s="7" t="s">
        <v>129</v>
      </c>
      <c r="C150" s="7" t="s">
        <v>130</v>
      </c>
      <c r="D150" s="7" t="s">
        <v>70</v>
      </c>
      <c r="E150" s="8">
        <v>1437</v>
      </c>
      <c r="F150" s="8">
        <v>68</v>
      </c>
      <c r="G150" s="9">
        <v>353.33</v>
      </c>
      <c r="H150" s="8">
        <v>24</v>
      </c>
      <c r="I150" s="9">
        <v>531.45000000000005</v>
      </c>
    </row>
    <row r="151" spans="1:9" x14ac:dyDescent="0.35">
      <c r="A151" s="7" t="s">
        <v>193</v>
      </c>
      <c r="B151" s="7" t="s">
        <v>129</v>
      </c>
      <c r="C151" s="7" t="s">
        <v>130</v>
      </c>
      <c r="D151" s="7" t="s">
        <v>65</v>
      </c>
      <c r="E151" s="8">
        <v>4259</v>
      </c>
      <c r="F151" s="8">
        <v>87</v>
      </c>
      <c r="G151" s="9">
        <v>343.67</v>
      </c>
      <c r="H151" s="8">
        <v>2</v>
      </c>
      <c r="I151" s="9">
        <v>28.25</v>
      </c>
    </row>
    <row r="152" spans="1:9" x14ac:dyDescent="0.35">
      <c r="A152" s="7" t="s">
        <v>194</v>
      </c>
      <c r="B152" s="7" t="s">
        <v>129</v>
      </c>
      <c r="C152" s="7" t="s">
        <v>135</v>
      </c>
      <c r="D152" s="7" t="s">
        <v>65</v>
      </c>
      <c r="E152" s="8">
        <v>2462</v>
      </c>
      <c r="F152" s="8">
        <v>74</v>
      </c>
      <c r="G152" s="9">
        <v>323.62</v>
      </c>
      <c r="H152" s="8">
        <v>2</v>
      </c>
      <c r="I152" s="9">
        <v>28.5</v>
      </c>
    </row>
    <row r="153" spans="1:9" x14ac:dyDescent="0.35">
      <c r="A153" s="7" t="s">
        <v>195</v>
      </c>
      <c r="B153" s="7" t="s">
        <v>129</v>
      </c>
      <c r="C153" s="7" t="s">
        <v>167</v>
      </c>
      <c r="D153" s="7" t="s">
        <v>70</v>
      </c>
      <c r="E153" s="8">
        <v>1168</v>
      </c>
      <c r="F153" s="8">
        <v>66</v>
      </c>
      <c r="G153" s="9">
        <v>318.18</v>
      </c>
      <c r="H153" s="8">
        <v>16</v>
      </c>
      <c r="I153" s="9">
        <v>394.72</v>
      </c>
    </row>
    <row r="154" spans="1:9" x14ac:dyDescent="0.35">
      <c r="A154" s="7" t="s">
        <v>196</v>
      </c>
      <c r="B154" s="7" t="s">
        <v>129</v>
      </c>
      <c r="C154" s="7" t="s">
        <v>130</v>
      </c>
      <c r="D154" s="7" t="s">
        <v>70</v>
      </c>
      <c r="E154" s="8">
        <v>1501</v>
      </c>
      <c r="F154" s="8">
        <v>60</v>
      </c>
      <c r="G154" s="9">
        <v>317.27</v>
      </c>
      <c r="H154" s="8">
        <v>16</v>
      </c>
      <c r="I154" s="9">
        <v>373.1</v>
      </c>
    </row>
    <row r="155" spans="1:9" x14ac:dyDescent="0.35">
      <c r="A155" s="7" t="s">
        <v>197</v>
      </c>
      <c r="B155" s="7" t="s">
        <v>129</v>
      </c>
      <c r="C155" s="7" t="s">
        <v>130</v>
      </c>
      <c r="D155" s="7" t="s">
        <v>70</v>
      </c>
      <c r="E155" s="8">
        <v>2943</v>
      </c>
      <c r="F155" s="8">
        <v>67</v>
      </c>
      <c r="G155" s="9">
        <v>309.66000000000003</v>
      </c>
      <c r="H155" s="8">
        <v>2</v>
      </c>
      <c r="I155" s="9">
        <v>27.26</v>
      </c>
    </row>
    <row r="156" spans="1:9" x14ac:dyDescent="0.35">
      <c r="A156" s="7" t="s">
        <v>198</v>
      </c>
      <c r="B156" s="7" t="s">
        <v>129</v>
      </c>
      <c r="C156" s="7" t="s">
        <v>137</v>
      </c>
      <c r="D156" s="7" t="s">
        <v>65</v>
      </c>
      <c r="E156" s="8">
        <v>1496</v>
      </c>
      <c r="F156" s="8">
        <v>68</v>
      </c>
      <c r="G156" s="9">
        <v>301.39999999999998</v>
      </c>
      <c r="H156" s="8">
        <v>1</v>
      </c>
      <c r="I156" s="9">
        <v>10.44</v>
      </c>
    </row>
    <row r="157" spans="1:9" x14ac:dyDescent="0.35">
      <c r="A157" s="7" t="s">
        <v>199</v>
      </c>
      <c r="B157" s="7" t="s">
        <v>129</v>
      </c>
      <c r="C157" s="7" t="s">
        <v>130</v>
      </c>
      <c r="D157" s="7" t="s">
        <v>65</v>
      </c>
      <c r="E157" s="8">
        <v>2592</v>
      </c>
      <c r="F157" s="8">
        <v>78</v>
      </c>
      <c r="G157" s="9">
        <v>301.33</v>
      </c>
      <c r="H157" s="8">
        <v>2</v>
      </c>
      <c r="I157" s="9">
        <v>19.239999999999998</v>
      </c>
    </row>
    <row r="158" spans="1:9" x14ac:dyDescent="0.35">
      <c r="A158" s="7" t="s">
        <v>200</v>
      </c>
      <c r="B158" s="7" t="s">
        <v>129</v>
      </c>
      <c r="C158" s="7" t="s">
        <v>130</v>
      </c>
      <c r="D158" s="7" t="s">
        <v>65</v>
      </c>
      <c r="E158" s="8">
        <v>3199</v>
      </c>
      <c r="F158" s="8">
        <v>79</v>
      </c>
      <c r="G158" s="9">
        <v>289.05</v>
      </c>
      <c r="H158" s="8">
        <v>1</v>
      </c>
      <c r="I158" s="9">
        <v>15.65</v>
      </c>
    </row>
    <row r="159" spans="1:9" x14ac:dyDescent="0.35">
      <c r="A159" s="7" t="s">
        <v>201</v>
      </c>
      <c r="B159" s="7" t="s">
        <v>129</v>
      </c>
      <c r="C159" s="7" t="s">
        <v>167</v>
      </c>
      <c r="D159" s="7" t="s">
        <v>70</v>
      </c>
      <c r="E159" s="8">
        <v>1063</v>
      </c>
      <c r="F159" s="8">
        <v>54</v>
      </c>
      <c r="G159" s="9">
        <v>286.45999999999998</v>
      </c>
      <c r="H159" s="8">
        <v>26</v>
      </c>
      <c r="I159" s="9">
        <v>527.16999999999996</v>
      </c>
    </row>
    <row r="160" spans="1:9" x14ac:dyDescent="0.35">
      <c r="A160" s="7" t="s">
        <v>202</v>
      </c>
      <c r="B160" s="7" t="s">
        <v>129</v>
      </c>
      <c r="C160" s="7" t="s">
        <v>130</v>
      </c>
      <c r="D160" s="7" t="s">
        <v>70</v>
      </c>
      <c r="E160" s="8">
        <v>3760</v>
      </c>
      <c r="F160" s="8">
        <v>61</v>
      </c>
      <c r="G160" s="9">
        <v>279.60000000000002</v>
      </c>
      <c r="H160" s="8">
        <v>3</v>
      </c>
      <c r="I160" s="9">
        <v>41.91</v>
      </c>
    </row>
    <row r="161" spans="1:9" x14ac:dyDescent="0.35">
      <c r="A161" s="7" t="s">
        <v>203</v>
      </c>
      <c r="B161" s="7" t="s">
        <v>129</v>
      </c>
      <c r="C161" s="7" t="s">
        <v>130</v>
      </c>
      <c r="D161" s="7" t="s">
        <v>65</v>
      </c>
      <c r="E161" s="8">
        <v>2406</v>
      </c>
      <c r="F161" s="8">
        <v>63</v>
      </c>
      <c r="G161" s="9">
        <v>279.52999999999997</v>
      </c>
      <c r="H161" s="8">
        <v>3</v>
      </c>
      <c r="I161" s="9">
        <v>50.59</v>
      </c>
    </row>
    <row r="162" spans="1:9" x14ac:dyDescent="0.35">
      <c r="A162" s="7" t="s">
        <v>204</v>
      </c>
      <c r="B162" s="7" t="s">
        <v>129</v>
      </c>
      <c r="C162" s="7" t="s">
        <v>137</v>
      </c>
      <c r="D162" s="7" t="s">
        <v>70</v>
      </c>
      <c r="E162" s="8">
        <v>2649</v>
      </c>
      <c r="F162" s="8">
        <v>64</v>
      </c>
      <c r="G162" s="9">
        <v>278.36</v>
      </c>
      <c r="H162" s="8">
        <v>3</v>
      </c>
      <c r="I162" s="9">
        <v>51.05</v>
      </c>
    </row>
    <row r="163" spans="1:9" x14ac:dyDescent="0.35">
      <c r="A163" s="7" t="s">
        <v>205</v>
      </c>
      <c r="B163" s="7" t="s">
        <v>129</v>
      </c>
      <c r="C163" s="7" t="s">
        <v>137</v>
      </c>
      <c r="D163" s="7" t="s">
        <v>36</v>
      </c>
      <c r="E163" s="8">
        <v>1015</v>
      </c>
      <c r="F163" s="8">
        <v>50</v>
      </c>
      <c r="G163" s="9">
        <v>272.12</v>
      </c>
      <c r="H163" s="8">
        <v>16</v>
      </c>
      <c r="I163" s="9">
        <v>352.99</v>
      </c>
    </row>
    <row r="164" spans="1:9" x14ac:dyDescent="0.35">
      <c r="A164" s="7" t="s">
        <v>206</v>
      </c>
      <c r="B164" s="7" t="s">
        <v>129</v>
      </c>
      <c r="C164" s="7" t="s">
        <v>167</v>
      </c>
      <c r="D164" s="7" t="s">
        <v>65</v>
      </c>
      <c r="E164" s="8">
        <v>2128</v>
      </c>
      <c r="F164" s="8">
        <v>61</v>
      </c>
      <c r="G164" s="9">
        <v>267.24</v>
      </c>
      <c r="H164" s="8">
        <v>1</v>
      </c>
      <c r="I164" s="9">
        <v>16.57</v>
      </c>
    </row>
    <row r="165" spans="1:9" x14ac:dyDescent="0.35">
      <c r="A165" s="7" t="s">
        <v>207</v>
      </c>
      <c r="B165" s="7" t="s">
        <v>129</v>
      </c>
      <c r="C165" s="7" t="s">
        <v>130</v>
      </c>
      <c r="D165" s="7" t="s">
        <v>70</v>
      </c>
      <c r="E165" s="8">
        <v>1872</v>
      </c>
      <c r="F165" s="8">
        <v>81</v>
      </c>
      <c r="G165" s="9">
        <v>265.06</v>
      </c>
      <c r="H165" s="8">
        <v>2</v>
      </c>
      <c r="I165" s="9">
        <v>22.85</v>
      </c>
    </row>
    <row r="166" spans="1:9" x14ac:dyDescent="0.35">
      <c r="A166" s="7" t="s">
        <v>208</v>
      </c>
      <c r="B166" s="7" t="s">
        <v>129</v>
      </c>
      <c r="C166" s="7" t="s">
        <v>130</v>
      </c>
      <c r="D166" s="7" t="s">
        <v>65</v>
      </c>
      <c r="E166" s="8">
        <v>3222</v>
      </c>
      <c r="F166" s="8">
        <v>57</v>
      </c>
      <c r="G166" s="9">
        <v>257.10000000000002</v>
      </c>
      <c r="H166" s="8">
        <v>3</v>
      </c>
      <c r="I166" s="9">
        <v>37.340000000000003</v>
      </c>
    </row>
    <row r="167" spans="1:9" x14ac:dyDescent="0.35">
      <c r="A167" s="7" t="s">
        <v>209</v>
      </c>
      <c r="B167" s="7" t="s">
        <v>129</v>
      </c>
      <c r="C167" s="7" t="s">
        <v>130</v>
      </c>
      <c r="D167" s="7" t="s">
        <v>36</v>
      </c>
      <c r="E167" s="8">
        <v>942</v>
      </c>
      <c r="F167" s="8">
        <v>40</v>
      </c>
      <c r="G167" s="9">
        <v>252.37</v>
      </c>
      <c r="H167" s="8">
        <v>13</v>
      </c>
      <c r="I167" s="9">
        <v>272.61</v>
      </c>
    </row>
    <row r="168" spans="1:9" x14ac:dyDescent="0.35">
      <c r="A168" s="7" t="s">
        <v>210</v>
      </c>
      <c r="B168" s="7" t="s">
        <v>129</v>
      </c>
      <c r="C168" s="7" t="s">
        <v>130</v>
      </c>
      <c r="D168" s="7" t="s">
        <v>65</v>
      </c>
      <c r="E168" s="8">
        <v>1622</v>
      </c>
      <c r="F168" s="8">
        <v>64</v>
      </c>
      <c r="G168" s="9">
        <v>252.32</v>
      </c>
      <c r="H168" s="8">
        <v>0</v>
      </c>
      <c r="I168" s="9">
        <v>0</v>
      </c>
    </row>
    <row r="169" spans="1:9" x14ac:dyDescent="0.35">
      <c r="A169" s="7" t="s">
        <v>211</v>
      </c>
      <c r="B169" s="7" t="s">
        <v>129</v>
      </c>
      <c r="C169" s="7" t="s">
        <v>130</v>
      </c>
      <c r="D169" s="7" t="s">
        <v>65</v>
      </c>
      <c r="E169" s="8">
        <v>3399</v>
      </c>
      <c r="F169" s="8">
        <v>53</v>
      </c>
      <c r="G169" s="9">
        <v>251.94</v>
      </c>
      <c r="H169" s="8">
        <v>2</v>
      </c>
      <c r="I169" s="9">
        <v>29.53</v>
      </c>
    </row>
    <row r="170" spans="1:9" x14ac:dyDescent="0.35">
      <c r="A170" s="7" t="s">
        <v>212</v>
      </c>
      <c r="B170" s="7" t="s">
        <v>129</v>
      </c>
      <c r="C170" s="7" t="s">
        <v>130</v>
      </c>
      <c r="D170" s="7" t="s">
        <v>70</v>
      </c>
      <c r="E170" s="8">
        <v>1481</v>
      </c>
      <c r="F170" s="8">
        <v>50</v>
      </c>
      <c r="G170" s="9">
        <v>248.05</v>
      </c>
      <c r="H170" s="8">
        <v>0</v>
      </c>
      <c r="I170" s="9">
        <v>0</v>
      </c>
    </row>
    <row r="171" spans="1:9" x14ac:dyDescent="0.35">
      <c r="A171" s="7" t="s">
        <v>213</v>
      </c>
      <c r="B171" s="7" t="s">
        <v>129</v>
      </c>
      <c r="C171" s="7" t="s">
        <v>130</v>
      </c>
      <c r="D171" s="7" t="s">
        <v>65</v>
      </c>
      <c r="E171" s="8">
        <v>1998</v>
      </c>
      <c r="F171" s="8">
        <v>55</v>
      </c>
      <c r="G171" s="9">
        <v>247.35</v>
      </c>
      <c r="H171" s="8">
        <v>1</v>
      </c>
      <c r="I171" s="9">
        <v>15.27</v>
      </c>
    </row>
    <row r="172" spans="1:9" x14ac:dyDescent="0.35">
      <c r="A172" s="7" t="s">
        <v>214</v>
      </c>
      <c r="B172" s="7" t="s">
        <v>129</v>
      </c>
      <c r="C172" s="7" t="s">
        <v>130</v>
      </c>
      <c r="D172" s="7" t="s">
        <v>65</v>
      </c>
      <c r="E172" s="8">
        <v>2330</v>
      </c>
      <c r="F172" s="8">
        <v>50</v>
      </c>
      <c r="G172" s="9">
        <v>244.96</v>
      </c>
      <c r="H172" s="8">
        <v>2</v>
      </c>
      <c r="I172" s="9">
        <v>25.3</v>
      </c>
    </row>
    <row r="173" spans="1:9" x14ac:dyDescent="0.35">
      <c r="A173" s="7" t="s">
        <v>215</v>
      </c>
      <c r="B173" s="7" t="s">
        <v>129</v>
      </c>
      <c r="C173" s="7" t="s">
        <v>130</v>
      </c>
      <c r="D173" s="7" t="s">
        <v>70</v>
      </c>
      <c r="E173" s="8">
        <v>2768</v>
      </c>
      <c r="F173" s="8">
        <v>49</v>
      </c>
      <c r="G173" s="9">
        <v>242.45</v>
      </c>
      <c r="H173" s="8">
        <v>0</v>
      </c>
      <c r="I173" s="9">
        <v>0</v>
      </c>
    </row>
    <row r="174" spans="1:9" x14ac:dyDescent="0.35">
      <c r="A174" s="7" t="s">
        <v>216</v>
      </c>
      <c r="B174" s="7" t="s">
        <v>129</v>
      </c>
      <c r="C174" s="7" t="s">
        <v>130</v>
      </c>
      <c r="D174" s="7" t="s">
        <v>65</v>
      </c>
      <c r="E174" s="8">
        <v>2830</v>
      </c>
      <c r="F174" s="8">
        <v>41</v>
      </c>
      <c r="G174" s="9">
        <v>225.09</v>
      </c>
      <c r="H174" s="8">
        <v>2</v>
      </c>
      <c r="I174" s="9">
        <v>25.19</v>
      </c>
    </row>
    <row r="175" spans="1:9" x14ac:dyDescent="0.35">
      <c r="A175" s="7" t="s">
        <v>217</v>
      </c>
      <c r="B175" s="7" t="s">
        <v>129</v>
      </c>
      <c r="C175" s="7" t="s">
        <v>135</v>
      </c>
      <c r="D175" s="7" t="s">
        <v>65</v>
      </c>
      <c r="E175" s="8">
        <v>3136</v>
      </c>
      <c r="F175" s="8">
        <v>64</v>
      </c>
      <c r="G175" s="9">
        <v>224.13</v>
      </c>
      <c r="H175" s="8">
        <v>1</v>
      </c>
      <c r="I175" s="9">
        <v>14.88</v>
      </c>
    </row>
    <row r="176" spans="1:9" x14ac:dyDescent="0.35">
      <c r="A176" s="7" t="s">
        <v>218</v>
      </c>
      <c r="B176" s="7" t="s">
        <v>129</v>
      </c>
      <c r="C176" s="7" t="s">
        <v>137</v>
      </c>
      <c r="D176" s="7" t="s">
        <v>65</v>
      </c>
      <c r="E176" s="8">
        <v>2293</v>
      </c>
      <c r="F176" s="8">
        <v>48</v>
      </c>
      <c r="G176" s="9">
        <v>218.57</v>
      </c>
      <c r="H176" s="8">
        <v>1</v>
      </c>
      <c r="I176" s="9">
        <v>16</v>
      </c>
    </row>
    <row r="177" spans="1:9" x14ac:dyDescent="0.35">
      <c r="A177" s="7" t="s">
        <v>219</v>
      </c>
      <c r="B177" s="7" t="s">
        <v>129</v>
      </c>
      <c r="C177" s="7" t="s">
        <v>130</v>
      </c>
      <c r="D177" s="7" t="s">
        <v>65</v>
      </c>
      <c r="E177" s="8">
        <v>1304</v>
      </c>
      <c r="F177" s="8">
        <v>42</v>
      </c>
      <c r="G177" s="9">
        <v>214.08</v>
      </c>
      <c r="H177" s="8">
        <v>4</v>
      </c>
      <c r="I177" s="9">
        <v>87.42</v>
      </c>
    </row>
    <row r="178" spans="1:9" x14ac:dyDescent="0.35">
      <c r="A178" s="7" t="s">
        <v>220</v>
      </c>
      <c r="B178" s="7" t="s">
        <v>129</v>
      </c>
      <c r="C178" s="7" t="s">
        <v>137</v>
      </c>
      <c r="D178" s="7" t="s">
        <v>33</v>
      </c>
      <c r="E178" s="8">
        <v>1454</v>
      </c>
      <c r="F178" s="8">
        <v>59</v>
      </c>
      <c r="G178" s="9">
        <v>210.65</v>
      </c>
      <c r="H178" s="8">
        <v>0</v>
      </c>
      <c r="I178" s="9">
        <v>0</v>
      </c>
    </row>
    <row r="179" spans="1:9" x14ac:dyDescent="0.35">
      <c r="A179" s="7" t="s">
        <v>221</v>
      </c>
      <c r="B179" s="7" t="s">
        <v>129</v>
      </c>
      <c r="C179" s="7" t="s">
        <v>135</v>
      </c>
      <c r="D179" s="7" t="s">
        <v>65</v>
      </c>
      <c r="E179" s="8">
        <v>1482</v>
      </c>
      <c r="F179" s="8">
        <v>45</v>
      </c>
      <c r="G179" s="9">
        <v>202.72</v>
      </c>
      <c r="H179" s="8">
        <v>1</v>
      </c>
      <c r="I179" s="9">
        <v>14.32</v>
      </c>
    </row>
    <row r="180" spans="1:9" x14ac:dyDescent="0.35">
      <c r="A180" s="7" t="s">
        <v>222</v>
      </c>
      <c r="B180" s="7" t="s">
        <v>129</v>
      </c>
      <c r="C180" s="7" t="s">
        <v>130</v>
      </c>
      <c r="D180" s="7" t="s">
        <v>70</v>
      </c>
      <c r="E180" s="8">
        <v>2002</v>
      </c>
      <c r="F180" s="8">
        <v>37</v>
      </c>
      <c r="G180" s="9">
        <v>169.64</v>
      </c>
      <c r="H180" s="8">
        <v>6</v>
      </c>
      <c r="I180" s="9">
        <v>127.85</v>
      </c>
    </row>
    <row r="181" spans="1:9" x14ac:dyDescent="0.35">
      <c r="A181" s="7" t="s">
        <v>223</v>
      </c>
      <c r="B181" s="7" t="s">
        <v>129</v>
      </c>
      <c r="C181" s="7" t="s">
        <v>167</v>
      </c>
      <c r="D181" s="7" t="s">
        <v>70</v>
      </c>
      <c r="E181" s="8">
        <v>646</v>
      </c>
      <c r="F181" s="8">
        <v>28</v>
      </c>
      <c r="G181" s="9">
        <v>164.13</v>
      </c>
      <c r="H181" s="8">
        <v>10</v>
      </c>
      <c r="I181" s="9">
        <v>225.27</v>
      </c>
    </row>
    <row r="182" spans="1:9" x14ac:dyDescent="0.35">
      <c r="A182" s="7" t="s">
        <v>224</v>
      </c>
      <c r="B182" s="7" t="s">
        <v>129</v>
      </c>
      <c r="C182" s="7" t="s">
        <v>130</v>
      </c>
      <c r="D182" s="7" t="s">
        <v>65</v>
      </c>
      <c r="E182" s="8">
        <v>1415</v>
      </c>
      <c r="F182" s="8">
        <v>49</v>
      </c>
      <c r="G182" s="9">
        <v>157.88</v>
      </c>
      <c r="H182" s="8">
        <v>0</v>
      </c>
      <c r="I182" s="9">
        <v>0</v>
      </c>
    </row>
    <row r="183" spans="1:9" x14ac:dyDescent="0.35">
      <c r="A183" s="7" t="s">
        <v>225</v>
      </c>
      <c r="B183" s="7" t="s">
        <v>129</v>
      </c>
      <c r="C183" s="7" t="s">
        <v>130</v>
      </c>
      <c r="D183" s="7" t="s">
        <v>70</v>
      </c>
      <c r="E183" s="8">
        <v>1098</v>
      </c>
      <c r="F183" s="8">
        <v>28</v>
      </c>
      <c r="G183" s="9">
        <v>143.5</v>
      </c>
      <c r="H183" s="8">
        <v>0</v>
      </c>
      <c r="I183" s="9">
        <v>0</v>
      </c>
    </row>
    <row r="184" spans="1:9" x14ac:dyDescent="0.35">
      <c r="A184" s="7" t="s">
        <v>226</v>
      </c>
      <c r="B184" s="7" t="s">
        <v>129</v>
      </c>
      <c r="C184" s="7" t="s">
        <v>130</v>
      </c>
      <c r="D184" s="7" t="s">
        <v>65</v>
      </c>
      <c r="E184" s="8">
        <v>909</v>
      </c>
      <c r="F184" s="8">
        <v>30</v>
      </c>
      <c r="G184" s="9">
        <v>132.35</v>
      </c>
      <c r="H184" s="8">
        <v>0</v>
      </c>
      <c r="I184" s="9">
        <v>0</v>
      </c>
    </row>
    <row r="185" spans="1:9" x14ac:dyDescent="0.35">
      <c r="A185" s="7" t="s">
        <v>227</v>
      </c>
      <c r="B185" s="7" t="s">
        <v>129</v>
      </c>
      <c r="C185" s="7" t="s">
        <v>130</v>
      </c>
      <c r="D185" s="7" t="s">
        <v>70</v>
      </c>
      <c r="E185" s="8">
        <v>988</v>
      </c>
      <c r="F185" s="8">
        <v>20</v>
      </c>
      <c r="G185" s="9">
        <v>128.04</v>
      </c>
      <c r="H185" s="8">
        <v>4</v>
      </c>
      <c r="I185" s="9">
        <v>41.05</v>
      </c>
    </row>
    <row r="186" spans="1:9" x14ac:dyDescent="0.35">
      <c r="A186" s="7" t="s">
        <v>228</v>
      </c>
      <c r="B186" s="7" t="s">
        <v>129</v>
      </c>
      <c r="C186" s="7" t="s">
        <v>130</v>
      </c>
      <c r="D186" s="7" t="s">
        <v>65</v>
      </c>
      <c r="E186" s="8">
        <v>1307</v>
      </c>
      <c r="F186" s="8">
        <v>32</v>
      </c>
      <c r="G186" s="9">
        <v>126.19</v>
      </c>
      <c r="H186" s="8">
        <v>1</v>
      </c>
      <c r="I186" s="9">
        <v>14.97</v>
      </c>
    </row>
    <row r="187" spans="1:9" x14ac:dyDescent="0.35">
      <c r="A187" s="7" t="s">
        <v>229</v>
      </c>
      <c r="B187" s="7" t="s">
        <v>129</v>
      </c>
      <c r="C187" s="7" t="s">
        <v>137</v>
      </c>
      <c r="D187" s="7" t="s">
        <v>65</v>
      </c>
      <c r="E187" s="8">
        <v>1604</v>
      </c>
      <c r="F187" s="8">
        <v>26</v>
      </c>
      <c r="G187" s="9">
        <v>124.48</v>
      </c>
      <c r="H187" s="8">
        <v>0</v>
      </c>
      <c r="I187" s="9">
        <v>0</v>
      </c>
    </row>
    <row r="188" spans="1:9" x14ac:dyDescent="0.35">
      <c r="A188" s="7" t="s">
        <v>230</v>
      </c>
      <c r="B188" s="7" t="s">
        <v>129</v>
      </c>
      <c r="C188" s="7" t="s">
        <v>135</v>
      </c>
      <c r="D188" s="7" t="s">
        <v>65</v>
      </c>
      <c r="E188" s="8">
        <v>1827</v>
      </c>
      <c r="F188" s="8">
        <v>26</v>
      </c>
      <c r="G188" s="9">
        <v>110.58</v>
      </c>
      <c r="H188" s="8">
        <v>1</v>
      </c>
      <c r="I188" s="9">
        <v>16.37</v>
      </c>
    </row>
    <row r="189" spans="1:9" x14ac:dyDescent="0.35">
      <c r="A189" s="7" t="s">
        <v>231</v>
      </c>
      <c r="B189" s="7" t="s">
        <v>232</v>
      </c>
      <c r="C189" s="7" t="s">
        <v>233</v>
      </c>
      <c r="D189" s="7" t="s">
        <v>33</v>
      </c>
      <c r="E189" s="8">
        <v>25293</v>
      </c>
      <c r="F189" s="8">
        <v>1847</v>
      </c>
      <c r="G189" s="9">
        <v>15748.65</v>
      </c>
      <c r="H189" s="8">
        <v>339</v>
      </c>
      <c r="I189" s="9">
        <v>15633.68</v>
      </c>
    </row>
    <row r="190" spans="1:9" x14ac:dyDescent="0.35">
      <c r="A190" s="7" t="s">
        <v>234</v>
      </c>
      <c r="B190" s="7" t="s">
        <v>232</v>
      </c>
      <c r="C190" s="7" t="s">
        <v>233</v>
      </c>
      <c r="D190" s="7" t="s">
        <v>36</v>
      </c>
      <c r="E190" s="8">
        <v>17956</v>
      </c>
      <c r="F190" s="8">
        <v>1264</v>
      </c>
      <c r="G190" s="9">
        <v>9255.5400000000009</v>
      </c>
      <c r="H190" s="8">
        <v>301</v>
      </c>
      <c r="I190" s="9">
        <v>14574.4</v>
      </c>
    </row>
    <row r="191" spans="1:9" x14ac:dyDescent="0.35">
      <c r="A191" s="7" t="s">
        <v>235</v>
      </c>
      <c r="B191" s="7" t="s">
        <v>232</v>
      </c>
      <c r="C191" s="7" t="s">
        <v>233</v>
      </c>
      <c r="D191" s="7" t="s">
        <v>36</v>
      </c>
      <c r="E191" s="8">
        <v>10818</v>
      </c>
      <c r="F191" s="8">
        <v>875</v>
      </c>
      <c r="G191" s="9">
        <v>7697.87</v>
      </c>
      <c r="H191" s="8">
        <v>177</v>
      </c>
      <c r="I191" s="9">
        <v>9204.4500000000007</v>
      </c>
    </row>
    <row r="192" spans="1:9" x14ac:dyDescent="0.35">
      <c r="A192" s="7" t="s">
        <v>236</v>
      </c>
      <c r="B192" s="7" t="s">
        <v>232</v>
      </c>
      <c r="C192" s="7" t="s">
        <v>233</v>
      </c>
      <c r="D192" s="7" t="s">
        <v>33</v>
      </c>
      <c r="E192" s="8">
        <v>9967</v>
      </c>
      <c r="F192" s="8">
        <v>731</v>
      </c>
      <c r="G192" s="9">
        <v>7132.44</v>
      </c>
      <c r="H192" s="8">
        <v>143</v>
      </c>
      <c r="I192" s="9">
        <v>5286.42</v>
      </c>
    </row>
    <row r="193" spans="1:9" x14ac:dyDescent="0.35">
      <c r="A193" s="7" t="s">
        <v>237</v>
      </c>
      <c r="B193" s="7" t="s">
        <v>232</v>
      </c>
      <c r="C193" s="7" t="s">
        <v>233</v>
      </c>
      <c r="D193" s="7" t="s">
        <v>36</v>
      </c>
      <c r="E193" s="8">
        <v>10878</v>
      </c>
      <c r="F193" s="8">
        <v>849</v>
      </c>
      <c r="G193" s="9">
        <v>7055.41</v>
      </c>
      <c r="H193" s="8">
        <v>151</v>
      </c>
      <c r="I193" s="9">
        <v>7225.04</v>
      </c>
    </row>
    <row r="194" spans="1:9" x14ac:dyDescent="0.35">
      <c r="A194" s="7" t="s">
        <v>238</v>
      </c>
      <c r="B194" s="7" t="s">
        <v>232</v>
      </c>
      <c r="C194" s="7" t="s">
        <v>233</v>
      </c>
      <c r="D194" s="7" t="s">
        <v>36</v>
      </c>
      <c r="E194" s="8">
        <v>12545</v>
      </c>
      <c r="F194" s="8">
        <v>803</v>
      </c>
      <c r="G194" s="9">
        <v>6659.35</v>
      </c>
      <c r="H194" s="8">
        <v>159</v>
      </c>
      <c r="I194" s="9">
        <v>7300.91</v>
      </c>
    </row>
    <row r="195" spans="1:9" x14ac:dyDescent="0.35">
      <c r="A195" s="7" t="s">
        <v>239</v>
      </c>
      <c r="B195" s="7" t="s">
        <v>232</v>
      </c>
      <c r="C195" s="7" t="s">
        <v>240</v>
      </c>
      <c r="D195" s="7" t="s">
        <v>36</v>
      </c>
      <c r="E195" s="8">
        <v>12294</v>
      </c>
      <c r="F195" s="8">
        <v>766</v>
      </c>
      <c r="G195" s="9">
        <v>6462.2</v>
      </c>
      <c r="H195" s="8">
        <v>159</v>
      </c>
      <c r="I195" s="9">
        <v>7107.15</v>
      </c>
    </row>
    <row r="196" spans="1:9" x14ac:dyDescent="0.35">
      <c r="A196" s="7" t="s">
        <v>241</v>
      </c>
      <c r="B196" s="7" t="s">
        <v>232</v>
      </c>
      <c r="C196" s="7" t="s">
        <v>242</v>
      </c>
      <c r="D196" s="7" t="s">
        <v>33</v>
      </c>
      <c r="E196" s="8">
        <v>14429</v>
      </c>
      <c r="F196" s="8">
        <v>777</v>
      </c>
      <c r="G196" s="9">
        <v>6130.6</v>
      </c>
      <c r="H196" s="8">
        <v>179</v>
      </c>
      <c r="I196" s="9">
        <v>7113.81</v>
      </c>
    </row>
    <row r="197" spans="1:9" x14ac:dyDescent="0.35">
      <c r="A197" s="7" t="s">
        <v>243</v>
      </c>
      <c r="B197" s="7" t="s">
        <v>232</v>
      </c>
      <c r="C197" s="7" t="s">
        <v>233</v>
      </c>
      <c r="D197" s="7" t="s">
        <v>33</v>
      </c>
      <c r="E197" s="8">
        <v>8137</v>
      </c>
      <c r="F197" s="8">
        <v>604</v>
      </c>
      <c r="G197" s="9">
        <v>5372.67</v>
      </c>
      <c r="H197" s="8">
        <v>125</v>
      </c>
      <c r="I197" s="9">
        <v>4904.04</v>
      </c>
    </row>
    <row r="198" spans="1:9" x14ac:dyDescent="0.35">
      <c r="A198" s="7" t="s">
        <v>244</v>
      </c>
      <c r="B198" s="7" t="s">
        <v>232</v>
      </c>
      <c r="C198" s="7" t="s">
        <v>233</v>
      </c>
      <c r="D198" s="7" t="s">
        <v>36</v>
      </c>
      <c r="E198" s="8">
        <v>9295</v>
      </c>
      <c r="F198" s="8">
        <v>573</v>
      </c>
      <c r="G198" s="9">
        <v>5370.18</v>
      </c>
      <c r="H198" s="8">
        <v>116</v>
      </c>
      <c r="I198" s="9">
        <v>4768.95</v>
      </c>
    </row>
    <row r="199" spans="1:9" x14ac:dyDescent="0.35">
      <c r="A199" s="7" t="s">
        <v>245</v>
      </c>
      <c r="B199" s="7" t="s">
        <v>232</v>
      </c>
      <c r="C199" s="7" t="s">
        <v>242</v>
      </c>
      <c r="D199" s="7" t="s">
        <v>33</v>
      </c>
      <c r="E199" s="8">
        <v>8371</v>
      </c>
      <c r="F199" s="8">
        <v>601</v>
      </c>
      <c r="G199" s="9">
        <v>5261.61</v>
      </c>
      <c r="H199" s="8">
        <v>128</v>
      </c>
      <c r="I199" s="9">
        <v>5365.53</v>
      </c>
    </row>
    <row r="200" spans="1:9" x14ac:dyDescent="0.35">
      <c r="A200" s="7" t="s">
        <v>246</v>
      </c>
      <c r="B200" s="7" t="s">
        <v>232</v>
      </c>
      <c r="C200" s="7" t="s">
        <v>233</v>
      </c>
      <c r="D200" s="7" t="s">
        <v>33</v>
      </c>
      <c r="E200" s="8">
        <v>9642</v>
      </c>
      <c r="F200" s="8">
        <v>648</v>
      </c>
      <c r="G200" s="9">
        <v>5168.8100000000004</v>
      </c>
      <c r="H200" s="8">
        <v>124</v>
      </c>
      <c r="I200" s="9">
        <v>4991.7700000000004</v>
      </c>
    </row>
    <row r="201" spans="1:9" x14ac:dyDescent="0.35">
      <c r="A201" s="7" t="s">
        <v>247</v>
      </c>
      <c r="B201" s="7" t="s">
        <v>232</v>
      </c>
      <c r="C201" s="7" t="s">
        <v>233</v>
      </c>
      <c r="D201" s="7" t="s">
        <v>36</v>
      </c>
      <c r="E201" s="8">
        <v>9623</v>
      </c>
      <c r="F201" s="8">
        <v>611</v>
      </c>
      <c r="G201" s="9">
        <v>4667.6099999999997</v>
      </c>
      <c r="H201" s="8">
        <v>150</v>
      </c>
      <c r="I201" s="9">
        <v>7016.01</v>
      </c>
    </row>
    <row r="202" spans="1:9" x14ac:dyDescent="0.35">
      <c r="A202" s="7" t="s">
        <v>248</v>
      </c>
      <c r="B202" s="7" t="s">
        <v>232</v>
      </c>
      <c r="C202" s="7" t="s">
        <v>233</v>
      </c>
      <c r="D202" s="7" t="s">
        <v>33</v>
      </c>
      <c r="E202" s="8">
        <v>7179</v>
      </c>
      <c r="F202" s="8">
        <v>480</v>
      </c>
      <c r="G202" s="9">
        <v>4278.1899999999996</v>
      </c>
      <c r="H202" s="8">
        <v>98</v>
      </c>
      <c r="I202" s="9">
        <v>4580.04</v>
      </c>
    </row>
    <row r="203" spans="1:9" x14ac:dyDescent="0.35">
      <c r="A203" s="7" t="s">
        <v>249</v>
      </c>
      <c r="B203" s="7" t="s">
        <v>232</v>
      </c>
      <c r="C203" s="7" t="s">
        <v>242</v>
      </c>
      <c r="D203" s="7" t="s">
        <v>33</v>
      </c>
      <c r="E203" s="8">
        <v>6849</v>
      </c>
      <c r="F203" s="8">
        <v>484</v>
      </c>
      <c r="G203" s="9">
        <v>4219.07</v>
      </c>
      <c r="H203" s="8">
        <v>89</v>
      </c>
      <c r="I203" s="9">
        <v>3531.57</v>
      </c>
    </row>
    <row r="204" spans="1:9" x14ac:dyDescent="0.35">
      <c r="A204" s="7" t="s">
        <v>250</v>
      </c>
      <c r="B204" s="7" t="s">
        <v>232</v>
      </c>
      <c r="C204" s="7" t="s">
        <v>233</v>
      </c>
      <c r="D204" s="7" t="s">
        <v>36</v>
      </c>
      <c r="E204" s="8">
        <v>8280</v>
      </c>
      <c r="F204" s="8">
        <v>495</v>
      </c>
      <c r="G204" s="9">
        <v>4116.88</v>
      </c>
      <c r="H204" s="8">
        <v>97</v>
      </c>
      <c r="I204" s="9">
        <v>3692.6</v>
      </c>
    </row>
    <row r="205" spans="1:9" x14ac:dyDescent="0.35">
      <c r="A205" s="7" t="s">
        <v>251</v>
      </c>
      <c r="B205" s="7" t="s">
        <v>232</v>
      </c>
      <c r="C205" s="7" t="s">
        <v>242</v>
      </c>
      <c r="D205" s="7" t="s">
        <v>36</v>
      </c>
      <c r="E205" s="8">
        <v>9082</v>
      </c>
      <c r="F205" s="8">
        <v>447</v>
      </c>
      <c r="G205" s="9">
        <v>3960.79</v>
      </c>
      <c r="H205" s="8">
        <v>101</v>
      </c>
      <c r="I205" s="9">
        <v>4225.74</v>
      </c>
    </row>
    <row r="206" spans="1:9" x14ac:dyDescent="0.35">
      <c r="A206" s="7" t="s">
        <v>252</v>
      </c>
      <c r="B206" s="7" t="s">
        <v>232</v>
      </c>
      <c r="C206" s="7" t="s">
        <v>233</v>
      </c>
      <c r="D206" s="7" t="s">
        <v>36</v>
      </c>
      <c r="E206" s="8">
        <v>6540</v>
      </c>
      <c r="F206" s="8">
        <v>441</v>
      </c>
      <c r="G206" s="9">
        <v>3914.36</v>
      </c>
      <c r="H206" s="8">
        <v>113</v>
      </c>
      <c r="I206" s="9">
        <v>5322.82</v>
      </c>
    </row>
    <row r="207" spans="1:9" x14ac:dyDescent="0.35">
      <c r="A207" s="7" t="s">
        <v>253</v>
      </c>
      <c r="B207" s="7" t="s">
        <v>232</v>
      </c>
      <c r="C207" s="7" t="s">
        <v>233</v>
      </c>
      <c r="D207" s="7" t="s">
        <v>33</v>
      </c>
      <c r="E207" s="8">
        <v>7629</v>
      </c>
      <c r="F207" s="8">
        <v>484</v>
      </c>
      <c r="G207" s="9">
        <v>3739.76</v>
      </c>
      <c r="H207" s="8">
        <v>85</v>
      </c>
      <c r="I207" s="9">
        <v>3726.33</v>
      </c>
    </row>
    <row r="208" spans="1:9" x14ac:dyDescent="0.35">
      <c r="A208" s="7" t="s">
        <v>254</v>
      </c>
      <c r="B208" s="7" t="s">
        <v>232</v>
      </c>
      <c r="C208" s="7" t="s">
        <v>233</v>
      </c>
      <c r="D208" s="7" t="s">
        <v>33</v>
      </c>
      <c r="E208" s="8">
        <v>7644</v>
      </c>
      <c r="F208" s="8">
        <v>448</v>
      </c>
      <c r="G208" s="9">
        <v>3709.81</v>
      </c>
      <c r="H208" s="8">
        <v>100</v>
      </c>
      <c r="I208" s="9">
        <v>4518.46</v>
      </c>
    </row>
    <row r="209" spans="1:9" x14ac:dyDescent="0.35">
      <c r="A209" s="7" t="s">
        <v>255</v>
      </c>
      <c r="B209" s="7" t="s">
        <v>232</v>
      </c>
      <c r="C209" s="7" t="s">
        <v>233</v>
      </c>
      <c r="D209" s="7" t="s">
        <v>36</v>
      </c>
      <c r="E209" s="8">
        <v>7605</v>
      </c>
      <c r="F209" s="8">
        <v>488</v>
      </c>
      <c r="G209" s="9">
        <v>3440.32</v>
      </c>
      <c r="H209" s="8">
        <v>101</v>
      </c>
      <c r="I209" s="9">
        <v>4656.57</v>
      </c>
    </row>
    <row r="210" spans="1:9" x14ac:dyDescent="0.35">
      <c r="A210" s="7" t="s">
        <v>256</v>
      </c>
      <c r="B210" s="7" t="s">
        <v>232</v>
      </c>
      <c r="C210" s="7" t="s">
        <v>242</v>
      </c>
      <c r="D210" s="7" t="s">
        <v>65</v>
      </c>
      <c r="E210" s="8">
        <v>7497</v>
      </c>
      <c r="F210" s="8">
        <v>413</v>
      </c>
      <c r="G210" s="9">
        <v>3393.73</v>
      </c>
      <c r="H210" s="8">
        <v>92</v>
      </c>
      <c r="I210" s="9">
        <v>3835.73</v>
      </c>
    </row>
    <row r="211" spans="1:9" x14ac:dyDescent="0.35">
      <c r="A211" s="7" t="s">
        <v>257</v>
      </c>
      <c r="B211" s="7" t="s">
        <v>232</v>
      </c>
      <c r="C211" s="7" t="s">
        <v>240</v>
      </c>
      <c r="D211" s="7" t="s">
        <v>36</v>
      </c>
      <c r="E211" s="8">
        <v>7103</v>
      </c>
      <c r="F211" s="8">
        <v>420</v>
      </c>
      <c r="G211" s="9">
        <v>3381.04</v>
      </c>
      <c r="H211" s="8">
        <v>79</v>
      </c>
      <c r="I211" s="9">
        <v>3660.53</v>
      </c>
    </row>
    <row r="212" spans="1:9" x14ac:dyDescent="0.35">
      <c r="A212" s="7" t="s">
        <v>258</v>
      </c>
      <c r="B212" s="7" t="s">
        <v>232</v>
      </c>
      <c r="C212" s="7" t="s">
        <v>242</v>
      </c>
      <c r="D212" s="7" t="s">
        <v>33</v>
      </c>
      <c r="E212" s="8">
        <v>5481</v>
      </c>
      <c r="F212" s="8">
        <v>325</v>
      </c>
      <c r="G212" s="9">
        <v>3012.66</v>
      </c>
      <c r="H212" s="8">
        <v>82</v>
      </c>
      <c r="I212" s="9">
        <v>3314.78</v>
      </c>
    </row>
    <row r="213" spans="1:9" x14ac:dyDescent="0.35">
      <c r="A213" s="7" t="s">
        <v>259</v>
      </c>
      <c r="B213" s="7" t="s">
        <v>232</v>
      </c>
      <c r="C213" s="7" t="s">
        <v>240</v>
      </c>
      <c r="D213" s="7" t="s">
        <v>36</v>
      </c>
      <c r="E213" s="8">
        <v>5120</v>
      </c>
      <c r="F213" s="8">
        <v>312</v>
      </c>
      <c r="G213" s="9">
        <v>2966.03</v>
      </c>
      <c r="H213" s="8">
        <v>58</v>
      </c>
      <c r="I213" s="9">
        <v>2562.4</v>
      </c>
    </row>
    <row r="214" spans="1:9" x14ac:dyDescent="0.35">
      <c r="A214" s="7" t="s">
        <v>260</v>
      </c>
      <c r="B214" s="7" t="s">
        <v>232</v>
      </c>
      <c r="C214" s="7" t="s">
        <v>233</v>
      </c>
      <c r="D214" s="7" t="s">
        <v>33</v>
      </c>
      <c r="E214" s="8">
        <v>5191</v>
      </c>
      <c r="F214" s="8">
        <v>363</v>
      </c>
      <c r="G214" s="9">
        <v>2908.72</v>
      </c>
      <c r="H214" s="8">
        <v>100</v>
      </c>
      <c r="I214" s="9">
        <v>4356.95</v>
      </c>
    </row>
    <row r="215" spans="1:9" x14ac:dyDescent="0.35">
      <c r="A215" s="7" t="s">
        <v>261</v>
      </c>
      <c r="B215" s="7" t="s">
        <v>232</v>
      </c>
      <c r="C215" s="7" t="s">
        <v>233</v>
      </c>
      <c r="D215" s="7" t="s">
        <v>36</v>
      </c>
      <c r="E215" s="8">
        <v>5249</v>
      </c>
      <c r="F215" s="8">
        <v>318</v>
      </c>
      <c r="G215" s="9">
        <v>2751.09</v>
      </c>
      <c r="H215" s="8">
        <v>59</v>
      </c>
      <c r="I215" s="9">
        <v>2245.06</v>
      </c>
    </row>
    <row r="216" spans="1:9" x14ac:dyDescent="0.35">
      <c r="A216" s="7" t="s">
        <v>262</v>
      </c>
      <c r="B216" s="7" t="s">
        <v>232</v>
      </c>
      <c r="C216" s="7" t="s">
        <v>233</v>
      </c>
      <c r="D216" s="7" t="s">
        <v>36</v>
      </c>
      <c r="E216" s="8">
        <v>4544</v>
      </c>
      <c r="F216" s="8">
        <v>352</v>
      </c>
      <c r="G216" s="9">
        <v>2670.94</v>
      </c>
      <c r="H216" s="8">
        <v>77</v>
      </c>
      <c r="I216" s="9">
        <v>3389.8</v>
      </c>
    </row>
    <row r="217" spans="1:9" x14ac:dyDescent="0.35">
      <c r="A217" s="7" t="s">
        <v>263</v>
      </c>
      <c r="B217" s="7" t="s">
        <v>232</v>
      </c>
      <c r="C217" s="7" t="s">
        <v>233</v>
      </c>
      <c r="D217" s="7" t="s">
        <v>36</v>
      </c>
      <c r="E217" s="8">
        <v>6605</v>
      </c>
      <c r="F217" s="8">
        <v>273</v>
      </c>
      <c r="G217" s="9">
        <v>2416.21</v>
      </c>
      <c r="H217" s="8">
        <v>56</v>
      </c>
      <c r="I217" s="9">
        <v>2483.8200000000002</v>
      </c>
    </row>
    <row r="218" spans="1:9" x14ac:dyDescent="0.35">
      <c r="A218" s="7" t="s">
        <v>264</v>
      </c>
      <c r="B218" s="7" t="s">
        <v>232</v>
      </c>
      <c r="C218" s="7" t="s">
        <v>233</v>
      </c>
      <c r="D218" s="7" t="s">
        <v>36</v>
      </c>
      <c r="E218" s="8">
        <v>5272</v>
      </c>
      <c r="F218" s="8">
        <v>297</v>
      </c>
      <c r="G218" s="9">
        <v>2363.31</v>
      </c>
      <c r="H218" s="8">
        <v>80</v>
      </c>
      <c r="I218" s="9">
        <v>3462.4</v>
      </c>
    </row>
    <row r="219" spans="1:9" x14ac:dyDescent="0.35">
      <c r="A219" s="7" t="s">
        <v>265</v>
      </c>
      <c r="B219" s="7" t="s">
        <v>232</v>
      </c>
      <c r="C219" s="7" t="s">
        <v>266</v>
      </c>
      <c r="D219" s="7" t="s">
        <v>33</v>
      </c>
      <c r="E219" s="8">
        <v>4282</v>
      </c>
      <c r="F219" s="8">
        <v>280</v>
      </c>
      <c r="G219" s="9">
        <v>2341.0300000000002</v>
      </c>
      <c r="H219" s="8">
        <v>45</v>
      </c>
      <c r="I219" s="9">
        <v>1650.75</v>
      </c>
    </row>
    <row r="220" spans="1:9" x14ac:dyDescent="0.35">
      <c r="A220" s="7" t="s">
        <v>267</v>
      </c>
      <c r="B220" s="7" t="s">
        <v>232</v>
      </c>
      <c r="C220" s="7" t="s">
        <v>242</v>
      </c>
      <c r="D220" s="7" t="s">
        <v>33</v>
      </c>
      <c r="E220" s="8">
        <v>4095</v>
      </c>
      <c r="F220" s="8">
        <v>266</v>
      </c>
      <c r="G220" s="9">
        <v>2318.98</v>
      </c>
      <c r="H220" s="8">
        <v>54</v>
      </c>
      <c r="I220" s="9">
        <v>2341.41</v>
      </c>
    </row>
    <row r="221" spans="1:9" x14ac:dyDescent="0.35">
      <c r="A221" s="7" t="s">
        <v>268</v>
      </c>
      <c r="B221" s="7" t="s">
        <v>232</v>
      </c>
      <c r="C221" s="7" t="s">
        <v>233</v>
      </c>
      <c r="D221" s="7" t="s">
        <v>36</v>
      </c>
      <c r="E221" s="8">
        <v>4958</v>
      </c>
      <c r="F221" s="8">
        <v>317</v>
      </c>
      <c r="G221" s="9">
        <v>2292.64</v>
      </c>
      <c r="H221" s="8">
        <v>78</v>
      </c>
      <c r="I221" s="9">
        <v>3397.65</v>
      </c>
    </row>
    <row r="222" spans="1:9" x14ac:dyDescent="0.35">
      <c r="A222" s="7" t="s">
        <v>269</v>
      </c>
      <c r="B222" s="7" t="s">
        <v>232</v>
      </c>
      <c r="C222" s="7" t="s">
        <v>233</v>
      </c>
      <c r="D222" s="7" t="s">
        <v>33</v>
      </c>
      <c r="E222" s="8">
        <v>4075</v>
      </c>
      <c r="F222" s="8">
        <v>310</v>
      </c>
      <c r="G222" s="9">
        <v>2277.9</v>
      </c>
      <c r="H222" s="8">
        <v>44</v>
      </c>
      <c r="I222" s="9">
        <v>1890.76</v>
      </c>
    </row>
    <row r="223" spans="1:9" x14ac:dyDescent="0.35">
      <c r="A223" s="7" t="s">
        <v>270</v>
      </c>
      <c r="B223" s="7" t="s">
        <v>232</v>
      </c>
      <c r="C223" s="7" t="s">
        <v>266</v>
      </c>
      <c r="D223" s="7" t="s">
        <v>36</v>
      </c>
      <c r="E223" s="8">
        <v>4935</v>
      </c>
      <c r="F223" s="8">
        <v>290</v>
      </c>
      <c r="G223" s="9">
        <v>2166.92</v>
      </c>
      <c r="H223" s="8">
        <v>63</v>
      </c>
      <c r="I223" s="9">
        <v>2801.04</v>
      </c>
    </row>
    <row r="224" spans="1:9" x14ac:dyDescent="0.35">
      <c r="A224" s="7" t="s">
        <v>271</v>
      </c>
      <c r="B224" s="7" t="s">
        <v>232</v>
      </c>
      <c r="C224" s="7" t="s">
        <v>233</v>
      </c>
      <c r="D224" s="7" t="s">
        <v>33</v>
      </c>
      <c r="E224" s="8">
        <v>3737</v>
      </c>
      <c r="F224" s="8">
        <v>208</v>
      </c>
      <c r="G224" s="9">
        <v>2095.7199999999998</v>
      </c>
      <c r="H224" s="8">
        <v>47</v>
      </c>
      <c r="I224" s="9">
        <v>1856.42</v>
      </c>
    </row>
    <row r="225" spans="1:9" x14ac:dyDescent="0.35">
      <c r="A225" s="7" t="s">
        <v>272</v>
      </c>
      <c r="B225" s="7" t="s">
        <v>232</v>
      </c>
      <c r="C225" s="7" t="s">
        <v>266</v>
      </c>
      <c r="D225" s="7" t="s">
        <v>36</v>
      </c>
      <c r="E225" s="8">
        <v>3482</v>
      </c>
      <c r="F225" s="8">
        <v>261</v>
      </c>
      <c r="G225" s="9">
        <v>1913.01</v>
      </c>
      <c r="H225" s="8">
        <v>61</v>
      </c>
      <c r="I225" s="9">
        <v>2705</v>
      </c>
    </row>
    <row r="226" spans="1:9" x14ac:dyDescent="0.35">
      <c r="A226" s="7" t="s">
        <v>273</v>
      </c>
      <c r="B226" s="7" t="s">
        <v>232</v>
      </c>
      <c r="C226" s="7" t="s">
        <v>240</v>
      </c>
      <c r="D226" s="7" t="s">
        <v>36</v>
      </c>
      <c r="E226" s="8">
        <v>4168</v>
      </c>
      <c r="F226" s="8">
        <v>211</v>
      </c>
      <c r="G226" s="9">
        <v>1815.48</v>
      </c>
      <c r="H226" s="8">
        <v>62</v>
      </c>
      <c r="I226" s="9">
        <v>2369.06</v>
      </c>
    </row>
    <row r="227" spans="1:9" x14ac:dyDescent="0.35">
      <c r="A227" s="7" t="s">
        <v>274</v>
      </c>
      <c r="B227" s="7" t="s">
        <v>232</v>
      </c>
      <c r="C227" s="7" t="s">
        <v>242</v>
      </c>
      <c r="D227" s="7" t="s">
        <v>33</v>
      </c>
      <c r="E227" s="8">
        <v>3653</v>
      </c>
      <c r="F227" s="8">
        <v>231</v>
      </c>
      <c r="G227" s="9">
        <v>1793.1</v>
      </c>
      <c r="H227" s="8">
        <v>51</v>
      </c>
      <c r="I227" s="9">
        <v>2217.3200000000002</v>
      </c>
    </row>
    <row r="228" spans="1:9" x14ac:dyDescent="0.35">
      <c r="A228" s="7" t="s">
        <v>275</v>
      </c>
      <c r="B228" s="7" t="s">
        <v>232</v>
      </c>
      <c r="C228" s="7" t="s">
        <v>233</v>
      </c>
      <c r="D228" s="7" t="s">
        <v>36</v>
      </c>
      <c r="E228" s="8">
        <v>3086</v>
      </c>
      <c r="F228" s="8">
        <v>212</v>
      </c>
      <c r="G228" s="9">
        <v>1790.15</v>
      </c>
      <c r="H228" s="8">
        <v>50</v>
      </c>
      <c r="I228" s="9">
        <v>2069.15</v>
      </c>
    </row>
    <row r="229" spans="1:9" x14ac:dyDescent="0.35">
      <c r="A229" s="7" t="s">
        <v>276</v>
      </c>
      <c r="B229" s="7" t="s">
        <v>232</v>
      </c>
      <c r="C229" s="7" t="s">
        <v>233</v>
      </c>
      <c r="D229" s="7" t="s">
        <v>36</v>
      </c>
      <c r="E229" s="8">
        <v>5190</v>
      </c>
      <c r="F229" s="8">
        <v>250</v>
      </c>
      <c r="G229" s="9">
        <v>1755.52</v>
      </c>
      <c r="H229" s="8">
        <v>60</v>
      </c>
      <c r="I229" s="9">
        <v>2562.2399999999998</v>
      </c>
    </row>
    <row r="230" spans="1:9" x14ac:dyDescent="0.35">
      <c r="A230" s="7" t="s">
        <v>277</v>
      </c>
      <c r="B230" s="7" t="s">
        <v>232</v>
      </c>
      <c r="C230" s="7" t="s">
        <v>233</v>
      </c>
      <c r="D230" s="7" t="s">
        <v>65</v>
      </c>
      <c r="E230" s="8">
        <v>6827</v>
      </c>
      <c r="F230" s="8">
        <v>380</v>
      </c>
      <c r="G230" s="9">
        <v>1748.44</v>
      </c>
      <c r="H230" s="8">
        <v>5</v>
      </c>
      <c r="I230" s="9">
        <v>114.65</v>
      </c>
    </row>
    <row r="231" spans="1:9" x14ac:dyDescent="0.35">
      <c r="A231" s="7" t="s">
        <v>278</v>
      </c>
      <c r="B231" s="7" t="s">
        <v>232</v>
      </c>
      <c r="C231" s="7" t="s">
        <v>242</v>
      </c>
      <c r="D231" s="7" t="s">
        <v>36</v>
      </c>
      <c r="E231" s="8">
        <v>2665</v>
      </c>
      <c r="F231" s="8">
        <v>180</v>
      </c>
      <c r="G231" s="9">
        <v>1667.01</v>
      </c>
      <c r="H231" s="8">
        <v>38</v>
      </c>
      <c r="I231" s="9">
        <v>1543.73</v>
      </c>
    </row>
    <row r="232" spans="1:9" x14ac:dyDescent="0.35">
      <c r="A232" s="7" t="s">
        <v>279</v>
      </c>
      <c r="B232" s="7" t="s">
        <v>232</v>
      </c>
      <c r="C232" s="7" t="s">
        <v>233</v>
      </c>
      <c r="D232" s="7" t="s">
        <v>33</v>
      </c>
      <c r="E232" s="8">
        <v>3821</v>
      </c>
      <c r="F232" s="8">
        <v>225</v>
      </c>
      <c r="G232" s="9">
        <v>1660.89</v>
      </c>
      <c r="H232" s="8">
        <v>57</v>
      </c>
      <c r="I232" s="9">
        <v>2501.17</v>
      </c>
    </row>
    <row r="233" spans="1:9" x14ac:dyDescent="0.35">
      <c r="A233" s="7" t="s">
        <v>280</v>
      </c>
      <c r="B233" s="7" t="s">
        <v>232</v>
      </c>
      <c r="C233" s="7" t="s">
        <v>233</v>
      </c>
      <c r="D233" s="7" t="s">
        <v>36</v>
      </c>
      <c r="E233" s="8">
        <v>3118</v>
      </c>
      <c r="F233" s="8">
        <v>191</v>
      </c>
      <c r="G233" s="9">
        <v>1611.55</v>
      </c>
      <c r="H233" s="8">
        <v>39</v>
      </c>
      <c r="I233" s="9">
        <v>1640.98</v>
      </c>
    </row>
    <row r="234" spans="1:9" x14ac:dyDescent="0.35">
      <c r="A234" s="7" t="s">
        <v>281</v>
      </c>
      <c r="B234" s="7" t="s">
        <v>232</v>
      </c>
      <c r="C234" s="7" t="s">
        <v>242</v>
      </c>
      <c r="D234" s="7" t="s">
        <v>36</v>
      </c>
      <c r="E234" s="8">
        <v>2927</v>
      </c>
      <c r="F234" s="8">
        <v>189</v>
      </c>
      <c r="G234" s="9">
        <v>1608.38</v>
      </c>
      <c r="H234" s="8">
        <v>44</v>
      </c>
      <c r="I234" s="9">
        <v>1850.11</v>
      </c>
    </row>
    <row r="235" spans="1:9" x14ac:dyDescent="0.35">
      <c r="A235" s="7" t="s">
        <v>282</v>
      </c>
      <c r="B235" s="7" t="s">
        <v>232</v>
      </c>
      <c r="C235" s="7" t="s">
        <v>242</v>
      </c>
      <c r="D235" s="7" t="s">
        <v>36</v>
      </c>
      <c r="E235" s="8">
        <v>3097</v>
      </c>
      <c r="F235" s="8">
        <v>197</v>
      </c>
      <c r="G235" s="9">
        <v>1599.66</v>
      </c>
      <c r="H235" s="8">
        <v>36</v>
      </c>
      <c r="I235" s="9">
        <v>1521.3</v>
      </c>
    </row>
    <row r="236" spans="1:9" x14ac:dyDescent="0.35">
      <c r="A236" s="7" t="s">
        <v>283</v>
      </c>
      <c r="B236" s="7" t="s">
        <v>232</v>
      </c>
      <c r="C236" s="7" t="s">
        <v>266</v>
      </c>
      <c r="D236" s="7" t="s">
        <v>33</v>
      </c>
      <c r="E236" s="8">
        <v>2242</v>
      </c>
      <c r="F236" s="8">
        <v>155</v>
      </c>
      <c r="G236" s="9">
        <v>1474.93</v>
      </c>
      <c r="H236" s="8">
        <v>25</v>
      </c>
      <c r="I236" s="9">
        <v>900.31</v>
      </c>
    </row>
    <row r="237" spans="1:9" x14ac:dyDescent="0.35">
      <c r="A237" s="7" t="s">
        <v>284</v>
      </c>
      <c r="B237" s="7" t="s">
        <v>232</v>
      </c>
      <c r="C237" s="7" t="s">
        <v>242</v>
      </c>
      <c r="D237" s="7" t="s">
        <v>65</v>
      </c>
      <c r="E237" s="8">
        <v>1998</v>
      </c>
      <c r="F237" s="8">
        <v>162</v>
      </c>
      <c r="G237" s="9">
        <v>1449.7</v>
      </c>
      <c r="H237" s="8">
        <v>34</v>
      </c>
      <c r="I237" s="9">
        <v>1515.95</v>
      </c>
    </row>
    <row r="238" spans="1:9" x14ac:dyDescent="0.35">
      <c r="A238" s="7" t="s">
        <v>285</v>
      </c>
      <c r="B238" s="7" t="s">
        <v>232</v>
      </c>
      <c r="C238" s="7" t="s">
        <v>242</v>
      </c>
      <c r="D238" s="7" t="s">
        <v>33</v>
      </c>
      <c r="E238" s="8">
        <v>3449</v>
      </c>
      <c r="F238" s="8">
        <v>226</v>
      </c>
      <c r="G238" s="9">
        <v>1440.47</v>
      </c>
      <c r="H238" s="8">
        <v>48</v>
      </c>
      <c r="I238" s="9">
        <v>2204.4499999999998</v>
      </c>
    </row>
    <row r="239" spans="1:9" x14ac:dyDescent="0.35">
      <c r="A239" s="7" t="s">
        <v>286</v>
      </c>
      <c r="B239" s="7" t="s">
        <v>232</v>
      </c>
      <c r="C239" s="7" t="s">
        <v>266</v>
      </c>
      <c r="D239" s="7" t="s">
        <v>36</v>
      </c>
      <c r="E239" s="8">
        <v>2772</v>
      </c>
      <c r="F239" s="8">
        <v>142</v>
      </c>
      <c r="G239" s="9">
        <v>1224.8900000000001</v>
      </c>
      <c r="H239" s="8">
        <v>32</v>
      </c>
      <c r="I239" s="9">
        <v>1359.33</v>
      </c>
    </row>
    <row r="240" spans="1:9" x14ac:dyDescent="0.35">
      <c r="A240" s="7" t="s">
        <v>287</v>
      </c>
      <c r="B240" s="7" t="s">
        <v>232</v>
      </c>
      <c r="C240" s="7" t="s">
        <v>233</v>
      </c>
      <c r="D240" s="7" t="s">
        <v>70</v>
      </c>
      <c r="E240" s="8">
        <v>3465</v>
      </c>
      <c r="F240" s="8">
        <v>160</v>
      </c>
      <c r="G240" s="9">
        <v>1209.45</v>
      </c>
      <c r="H240" s="8">
        <v>8</v>
      </c>
      <c r="I240" s="9">
        <v>161.69</v>
      </c>
    </row>
    <row r="241" spans="1:9" x14ac:dyDescent="0.35">
      <c r="A241" s="7" t="s">
        <v>288</v>
      </c>
      <c r="B241" s="7" t="s">
        <v>232</v>
      </c>
      <c r="C241" s="7" t="s">
        <v>233</v>
      </c>
      <c r="D241" s="7" t="s">
        <v>70</v>
      </c>
      <c r="E241" s="8">
        <v>2681</v>
      </c>
      <c r="F241" s="8">
        <v>160</v>
      </c>
      <c r="G241" s="9">
        <v>1138.03</v>
      </c>
      <c r="H241" s="8">
        <v>46</v>
      </c>
      <c r="I241" s="9">
        <v>2103.84</v>
      </c>
    </row>
    <row r="242" spans="1:9" x14ac:dyDescent="0.35">
      <c r="A242" s="7" t="s">
        <v>289</v>
      </c>
      <c r="B242" s="7" t="s">
        <v>232</v>
      </c>
      <c r="C242" s="7" t="s">
        <v>240</v>
      </c>
      <c r="D242" s="7" t="s">
        <v>70</v>
      </c>
      <c r="E242" s="8">
        <v>7283</v>
      </c>
      <c r="F242" s="8">
        <v>199</v>
      </c>
      <c r="G242" s="9">
        <v>1109.5</v>
      </c>
      <c r="H242" s="8">
        <v>5</v>
      </c>
      <c r="I242" s="9">
        <v>117.29</v>
      </c>
    </row>
    <row r="243" spans="1:9" x14ac:dyDescent="0.35">
      <c r="A243" s="7" t="s">
        <v>290</v>
      </c>
      <c r="B243" s="7" t="s">
        <v>232</v>
      </c>
      <c r="C243" s="7" t="s">
        <v>240</v>
      </c>
      <c r="D243" s="7" t="s">
        <v>65</v>
      </c>
      <c r="E243" s="8">
        <v>2518</v>
      </c>
      <c r="F243" s="8">
        <v>131</v>
      </c>
      <c r="G243" s="9">
        <v>1103.96</v>
      </c>
      <c r="H243" s="8">
        <v>23</v>
      </c>
      <c r="I243" s="9">
        <v>907.34</v>
      </c>
    </row>
    <row r="244" spans="1:9" x14ac:dyDescent="0.35">
      <c r="A244" s="7" t="s">
        <v>291</v>
      </c>
      <c r="B244" s="7" t="s">
        <v>232</v>
      </c>
      <c r="C244" s="7" t="s">
        <v>233</v>
      </c>
      <c r="D244" s="7" t="s">
        <v>70</v>
      </c>
      <c r="E244" s="8">
        <v>3547</v>
      </c>
      <c r="F244" s="8">
        <v>200</v>
      </c>
      <c r="G244" s="9">
        <v>1001.98</v>
      </c>
      <c r="H244" s="8">
        <v>3</v>
      </c>
      <c r="I244" s="9">
        <v>63.76</v>
      </c>
    </row>
    <row r="245" spans="1:9" x14ac:dyDescent="0.35">
      <c r="A245" s="7" t="s">
        <v>292</v>
      </c>
      <c r="B245" s="7" t="s">
        <v>232</v>
      </c>
      <c r="C245" s="7" t="s">
        <v>233</v>
      </c>
      <c r="D245" s="7" t="s">
        <v>36</v>
      </c>
      <c r="E245" s="8">
        <v>1476</v>
      </c>
      <c r="F245" s="8">
        <v>123</v>
      </c>
      <c r="G245" s="9">
        <v>985.79</v>
      </c>
      <c r="H245" s="8">
        <v>18</v>
      </c>
      <c r="I245" s="9">
        <v>812.43</v>
      </c>
    </row>
    <row r="246" spans="1:9" x14ac:dyDescent="0.35">
      <c r="A246" s="7" t="s">
        <v>293</v>
      </c>
      <c r="B246" s="7" t="s">
        <v>232</v>
      </c>
      <c r="C246" s="7" t="s">
        <v>233</v>
      </c>
      <c r="D246" s="7" t="s">
        <v>65</v>
      </c>
      <c r="E246" s="8">
        <v>4070</v>
      </c>
      <c r="F246" s="8">
        <v>144</v>
      </c>
      <c r="G246" s="9">
        <v>962.13</v>
      </c>
      <c r="H246" s="8">
        <v>9</v>
      </c>
      <c r="I246" s="9">
        <v>184.57</v>
      </c>
    </row>
    <row r="247" spans="1:9" x14ac:dyDescent="0.35">
      <c r="A247" s="7" t="s">
        <v>294</v>
      </c>
      <c r="B247" s="7" t="s">
        <v>232</v>
      </c>
      <c r="C247" s="7" t="s">
        <v>242</v>
      </c>
      <c r="D247" s="7" t="s">
        <v>33</v>
      </c>
      <c r="E247" s="8">
        <v>3196</v>
      </c>
      <c r="F247" s="8">
        <v>135</v>
      </c>
      <c r="G247" s="9">
        <v>961.19</v>
      </c>
      <c r="H247" s="8">
        <v>22</v>
      </c>
      <c r="I247" s="9">
        <v>868.29</v>
      </c>
    </row>
    <row r="248" spans="1:9" x14ac:dyDescent="0.35">
      <c r="A248" s="7" t="s">
        <v>295</v>
      </c>
      <c r="B248" s="7" t="s">
        <v>232</v>
      </c>
      <c r="C248" s="7" t="s">
        <v>242</v>
      </c>
      <c r="D248" s="7" t="s">
        <v>70</v>
      </c>
      <c r="E248" s="8">
        <v>4853</v>
      </c>
      <c r="F248" s="8">
        <v>144</v>
      </c>
      <c r="G248" s="9">
        <v>929.14</v>
      </c>
      <c r="H248" s="8">
        <v>3</v>
      </c>
      <c r="I248" s="9">
        <v>85.86</v>
      </c>
    </row>
    <row r="249" spans="1:9" x14ac:dyDescent="0.35">
      <c r="A249" s="7" t="s">
        <v>296</v>
      </c>
      <c r="B249" s="7" t="s">
        <v>232</v>
      </c>
      <c r="C249" s="7" t="s">
        <v>240</v>
      </c>
      <c r="D249" s="7" t="s">
        <v>65</v>
      </c>
      <c r="E249" s="8">
        <v>1900</v>
      </c>
      <c r="F249" s="8">
        <v>133</v>
      </c>
      <c r="G249" s="9">
        <v>917.59</v>
      </c>
      <c r="H249" s="8">
        <v>23</v>
      </c>
      <c r="I249" s="9">
        <v>935</v>
      </c>
    </row>
    <row r="250" spans="1:9" x14ac:dyDescent="0.35">
      <c r="A250" s="7" t="s">
        <v>297</v>
      </c>
      <c r="B250" s="7" t="s">
        <v>232</v>
      </c>
      <c r="C250" s="7" t="s">
        <v>233</v>
      </c>
      <c r="D250" s="7" t="s">
        <v>70</v>
      </c>
      <c r="E250" s="8">
        <v>2338</v>
      </c>
      <c r="F250" s="8">
        <v>123</v>
      </c>
      <c r="G250" s="9">
        <v>893.43</v>
      </c>
      <c r="H250" s="8">
        <v>8</v>
      </c>
      <c r="I250" s="9">
        <v>187.97</v>
      </c>
    </row>
    <row r="251" spans="1:9" x14ac:dyDescent="0.35">
      <c r="A251" s="7" t="s">
        <v>298</v>
      </c>
      <c r="B251" s="7" t="s">
        <v>232</v>
      </c>
      <c r="C251" s="7" t="s">
        <v>233</v>
      </c>
      <c r="D251" s="7" t="s">
        <v>70</v>
      </c>
      <c r="E251" s="8">
        <v>2822</v>
      </c>
      <c r="F251" s="8">
        <v>117</v>
      </c>
      <c r="G251" s="9">
        <v>881.85</v>
      </c>
      <c r="H251" s="8">
        <v>7</v>
      </c>
      <c r="I251" s="9">
        <v>124.52</v>
      </c>
    </row>
    <row r="252" spans="1:9" x14ac:dyDescent="0.35">
      <c r="A252" s="7" t="s">
        <v>299</v>
      </c>
      <c r="B252" s="7" t="s">
        <v>232</v>
      </c>
      <c r="C252" s="7" t="s">
        <v>233</v>
      </c>
      <c r="D252" s="7" t="s">
        <v>36</v>
      </c>
      <c r="E252" s="8">
        <v>1338</v>
      </c>
      <c r="F252" s="8">
        <v>107</v>
      </c>
      <c r="G252" s="9">
        <v>844.55</v>
      </c>
      <c r="H252" s="8">
        <v>27</v>
      </c>
      <c r="I252" s="9">
        <v>1056.74</v>
      </c>
    </row>
    <row r="253" spans="1:9" x14ac:dyDescent="0.35">
      <c r="A253" s="7" t="s">
        <v>300</v>
      </c>
      <c r="B253" s="7" t="s">
        <v>232</v>
      </c>
      <c r="C253" s="7" t="s">
        <v>242</v>
      </c>
      <c r="D253" s="7" t="s">
        <v>70</v>
      </c>
      <c r="E253" s="8">
        <v>6030</v>
      </c>
      <c r="F253" s="8">
        <v>166</v>
      </c>
      <c r="G253" s="9">
        <v>844.18</v>
      </c>
      <c r="H253" s="8">
        <v>1</v>
      </c>
      <c r="I253" s="9">
        <v>22.04</v>
      </c>
    </row>
    <row r="254" spans="1:9" x14ac:dyDescent="0.35">
      <c r="A254" s="7" t="s">
        <v>301</v>
      </c>
      <c r="B254" s="7" t="s">
        <v>232</v>
      </c>
      <c r="C254" s="7" t="s">
        <v>240</v>
      </c>
      <c r="D254" s="7" t="s">
        <v>70</v>
      </c>
      <c r="E254" s="8">
        <v>2002</v>
      </c>
      <c r="F254" s="8">
        <v>126</v>
      </c>
      <c r="G254" s="9">
        <v>813.74</v>
      </c>
      <c r="H254" s="8">
        <v>36</v>
      </c>
      <c r="I254" s="9">
        <v>1510.18</v>
      </c>
    </row>
    <row r="255" spans="1:9" x14ac:dyDescent="0.35">
      <c r="A255" s="7" t="s">
        <v>302</v>
      </c>
      <c r="B255" s="7" t="s">
        <v>232</v>
      </c>
      <c r="C255" s="7" t="s">
        <v>240</v>
      </c>
      <c r="D255" s="7" t="s">
        <v>33</v>
      </c>
      <c r="E255" s="8">
        <v>1711</v>
      </c>
      <c r="F255" s="8">
        <v>105</v>
      </c>
      <c r="G255" s="9">
        <v>810.45</v>
      </c>
      <c r="H255" s="8">
        <v>11</v>
      </c>
      <c r="I255" s="9">
        <v>494.26</v>
      </c>
    </row>
    <row r="256" spans="1:9" x14ac:dyDescent="0.35">
      <c r="A256" s="7" t="s">
        <v>303</v>
      </c>
      <c r="B256" s="7" t="s">
        <v>232</v>
      </c>
      <c r="C256" s="7" t="s">
        <v>240</v>
      </c>
      <c r="D256" s="7" t="s">
        <v>65</v>
      </c>
      <c r="E256" s="8">
        <v>1270</v>
      </c>
      <c r="F256" s="8">
        <v>96</v>
      </c>
      <c r="G256" s="9">
        <v>720.96</v>
      </c>
      <c r="H256" s="8">
        <v>28</v>
      </c>
      <c r="I256" s="9">
        <v>1178.6600000000001</v>
      </c>
    </row>
    <row r="257" spans="1:9" x14ac:dyDescent="0.35">
      <c r="A257" s="7" t="s">
        <v>304</v>
      </c>
      <c r="B257" s="7" t="s">
        <v>232</v>
      </c>
      <c r="C257" s="7" t="s">
        <v>242</v>
      </c>
      <c r="D257" s="7" t="s">
        <v>70</v>
      </c>
      <c r="E257" s="8">
        <v>3788</v>
      </c>
      <c r="F257" s="8">
        <v>118</v>
      </c>
      <c r="G257" s="9">
        <v>717.99</v>
      </c>
      <c r="H257" s="8">
        <v>2</v>
      </c>
      <c r="I257" s="9">
        <v>56.5</v>
      </c>
    </row>
    <row r="258" spans="1:9" x14ac:dyDescent="0.35">
      <c r="A258" s="7" t="s">
        <v>305</v>
      </c>
      <c r="B258" s="7" t="s">
        <v>232</v>
      </c>
      <c r="C258" s="7" t="s">
        <v>266</v>
      </c>
      <c r="D258" s="7" t="s">
        <v>70</v>
      </c>
      <c r="E258" s="8">
        <v>3219</v>
      </c>
      <c r="F258" s="8">
        <v>117</v>
      </c>
      <c r="G258" s="9">
        <v>685.2</v>
      </c>
      <c r="H258" s="8">
        <v>9</v>
      </c>
      <c r="I258" s="9">
        <v>193.13</v>
      </c>
    </row>
    <row r="259" spans="1:9" x14ac:dyDescent="0.35">
      <c r="A259" s="7" t="s">
        <v>306</v>
      </c>
      <c r="B259" s="7" t="s">
        <v>232</v>
      </c>
      <c r="C259" s="7" t="s">
        <v>233</v>
      </c>
      <c r="D259" s="7" t="s">
        <v>65</v>
      </c>
      <c r="E259" s="8">
        <v>3158</v>
      </c>
      <c r="F259" s="8">
        <v>110</v>
      </c>
      <c r="G259" s="9">
        <v>643.91999999999996</v>
      </c>
      <c r="H259" s="8">
        <v>1</v>
      </c>
      <c r="I259" s="9">
        <v>29.44</v>
      </c>
    </row>
    <row r="260" spans="1:9" x14ac:dyDescent="0.35">
      <c r="A260" s="7" t="s">
        <v>307</v>
      </c>
      <c r="B260" s="7" t="s">
        <v>232</v>
      </c>
      <c r="C260" s="7" t="s">
        <v>233</v>
      </c>
      <c r="D260" s="7" t="s">
        <v>70</v>
      </c>
      <c r="E260" s="8">
        <v>3997</v>
      </c>
      <c r="F260" s="8">
        <v>130</v>
      </c>
      <c r="G260" s="9">
        <v>632.35</v>
      </c>
      <c r="H260" s="8">
        <v>5</v>
      </c>
      <c r="I260" s="9">
        <v>136.38</v>
      </c>
    </row>
    <row r="261" spans="1:9" x14ac:dyDescent="0.35">
      <c r="A261" s="7" t="s">
        <v>308</v>
      </c>
      <c r="B261" s="7" t="s">
        <v>232</v>
      </c>
      <c r="C261" s="7" t="s">
        <v>242</v>
      </c>
      <c r="D261" s="7" t="s">
        <v>33</v>
      </c>
      <c r="E261" s="8">
        <v>1109</v>
      </c>
      <c r="F261" s="8">
        <v>70</v>
      </c>
      <c r="G261" s="9">
        <v>571.45000000000005</v>
      </c>
      <c r="H261" s="8">
        <v>18</v>
      </c>
      <c r="I261" s="9">
        <v>753.23</v>
      </c>
    </row>
    <row r="262" spans="1:9" x14ac:dyDescent="0.35">
      <c r="A262" s="7" t="s">
        <v>309</v>
      </c>
      <c r="B262" s="7" t="s">
        <v>232</v>
      </c>
      <c r="C262" s="7" t="s">
        <v>242</v>
      </c>
      <c r="D262" s="7" t="s">
        <v>70</v>
      </c>
      <c r="E262" s="8">
        <v>4751</v>
      </c>
      <c r="F262" s="8">
        <v>81</v>
      </c>
      <c r="G262" s="9">
        <v>569</v>
      </c>
      <c r="H262" s="8">
        <v>0</v>
      </c>
      <c r="I262" s="9">
        <v>0</v>
      </c>
    </row>
    <row r="263" spans="1:9" x14ac:dyDescent="0.35">
      <c r="A263" s="7" t="s">
        <v>310</v>
      </c>
      <c r="B263" s="7" t="s">
        <v>232</v>
      </c>
      <c r="C263" s="7" t="s">
        <v>233</v>
      </c>
      <c r="D263" s="7" t="s">
        <v>65</v>
      </c>
      <c r="E263" s="8">
        <v>1634</v>
      </c>
      <c r="F263" s="8">
        <v>78</v>
      </c>
      <c r="G263" s="9">
        <v>567.04999999999995</v>
      </c>
      <c r="H263" s="8">
        <v>6</v>
      </c>
      <c r="I263" s="9">
        <v>128.16999999999999</v>
      </c>
    </row>
    <row r="264" spans="1:9" x14ac:dyDescent="0.35">
      <c r="A264" s="7" t="s">
        <v>311</v>
      </c>
      <c r="B264" s="7" t="s">
        <v>232</v>
      </c>
      <c r="C264" s="7" t="s">
        <v>233</v>
      </c>
      <c r="D264" s="7" t="s">
        <v>65</v>
      </c>
      <c r="E264" s="8">
        <v>2514</v>
      </c>
      <c r="F264" s="8">
        <v>131</v>
      </c>
      <c r="G264" s="9">
        <v>563.76</v>
      </c>
      <c r="H264" s="8">
        <v>1</v>
      </c>
      <c r="I264" s="9">
        <v>21.49</v>
      </c>
    </row>
    <row r="265" spans="1:9" x14ac:dyDescent="0.35">
      <c r="A265" s="7" t="s">
        <v>312</v>
      </c>
      <c r="B265" s="7" t="s">
        <v>232</v>
      </c>
      <c r="C265" s="7" t="s">
        <v>233</v>
      </c>
      <c r="D265" s="7" t="s">
        <v>70</v>
      </c>
      <c r="E265" s="8">
        <v>1574</v>
      </c>
      <c r="F265" s="8">
        <v>94</v>
      </c>
      <c r="G265" s="9">
        <v>560.39</v>
      </c>
      <c r="H265" s="8">
        <v>21</v>
      </c>
      <c r="I265" s="9">
        <v>949.64</v>
      </c>
    </row>
    <row r="266" spans="1:9" x14ac:dyDescent="0.35">
      <c r="A266" s="7" t="s">
        <v>313</v>
      </c>
      <c r="B266" s="7" t="s">
        <v>232</v>
      </c>
      <c r="C266" s="7" t="s">
        <v>266</v>
      </c>
      <c r="D266" s="7" t="s">
        <v>70</v>
      </c>
      <c r="E266" s="8">
        <v>2695</v>
      </c>
      <c r="F266" s="8">
        <v>111</v>
      </c>
      <c r="G266" s="9">
        <v>532.15</v>
      </c>
      <c r="H266" s="8">
        <v>0</v>
      </c>
      <c r="I266" s="9">
        <v>0</v>
      </c>
    </row>
    <row r="267" spans="1:9" x14ac:dyDescent="0.35">
      <c r="A267" s="7" t="s">
        <v>314</v>
      </c>
      <c r="B267" s="7" t="s">
        <v>232</v>
      </c>
      <c r="C267" s="7" t="s">
        <v>242</v>
      </c>
      <c r="D267" s="7" t="s">
        <v>70</v>
      </c>
      <c r="E267" s="8">
        <v>1386</v>
      </c>
      <c r="F267" s="8">
        <v>78</v>
      </c>
      <c r="G267" s="9">
        <v>525.92999999999995</v>
      </c>
      <c r="H267" s="8">
        <v>23</v>
      </c>
      <c r="I267" s="9">
        <v>1154.47</v>
      </c>
    </row>
    <row r="268" spans="1:9" x14ac:dyDescent="0.35">
      <c r="A268" s="7" t="s">
        <v>315</v>
      </c>
      <c r="B268" s="7" t="s">
        <v>232</v>
      </c>
      <c r="C268" s="7" t="s">
        <v>242</v>
      </c>
      <c r="D268" s="7" t="s">
        <v>70</v>
      </c>
      <c r="E268" s="8">
        <v>1349</v>
      </c>
      <c r="F268" s="8">
        <v>75</v>
      </c>
      <c r="G268" s="9">
        <v>525.46</v>
      </c>
      <c r="H268" s="8">
        <v>23</v>
      </c>
      <c r="I268" s="9">
        <v>1158.6400000000001</v>
      </c>
    </row>
    <row r="269" spans="1:9" x14ac:dyDescent="0.35">
      <c r="A269" s="7" t="s">
        <v>316</v>
      </c>
      <c r="B269" s="7" t="s">
        <v>232</v>
      </c>
      <c r="C269" s="7" t="s">
        <v>242</v>
      </c>
      <c r="D269" s="7" t="s">
        <v>65</v>
      </c>
      <c r="E269" s="8">
        <v>4063</v>
      </c>
      <c r="F269" s="8">
        <v>83</v>
      </c>
      <c r="G269" s="9">
        <v>518.89</v>
      </c>
      <c r="H269" s="8">
        <v>2</v>
      </c>
      <c r="I269" s="9">
        <v>48.52</v>
      </c>
    </row>
    <row r="270" spans="1:9" x14ac:dyDescent="0.35">
      <c r="A270" s="7" t="s">
        <v>317</v>
      </c>
      <c r="B270" s="7" t="s">
        <v>232</v>
      </c>
      <c r="C270" s="7" t="s">
        <v>266</v>
      </c>
      <c r="D270" s="7" t="s">
        <v>70</v>
      </c>
      <c r="E270" s="8">
        <v>1866</v>
      </c>
      <c r="F270" s="8">
        <v>67</v>
      </c>
      <c r="G270" s="9">
        <v>518.52</v>
      </c>
      <c r="H270" s="8">
        <v>1</v>
      </c>
      <c r="I270" s="9">
        <v>20.91</v>
      </c>
    </row>
    <row r="271" spans="1:9" x14ac:dyDescent="0.35">
      <c r="A271" s="7" t="s">
        <v>318</v>
      </c>
      <c r="B271" s="7" t="s">
        <v>232</v>
      </c>
      <c r="C271" s="7" t="s">
        <v>242</v>
      </c>
      <c r="D271" s="7" t="s">
        <v>70</v>
      </c>
      <c r="E271" s="8">
        <v>3017</v>
      </c>
      <c r="F271" s="8">
        <v>97</v>
      </c>
      <c r="G271" s="9">
        <v>495.33</v>
      </c>
      <c r="H271" s="8">
        <v>11</v>
      </c>
      <c r="I271" s="9">
        <v>444.22</v>
      </c>
    </row>
    <row r="272" spans="1:9" x14ac:dyDescent="0.35">
      <c r="A272" s="7" t="s">
        <v>319</v>
      </c>
      <c r="B272" s="7" t="s">
        <v>232</v>
      </c>
      <c r="C272" s="7" t="s">
        <v>266</v>
      </c>
      <c r="D272" s="7" t="s">
        <v>65</v>
      </c>
      <c r="E272" s="8">
        <v>2186</v>
      </c>
      <c r="F272" s="8">
        <v>115</v>
      </c>
      <c r="G272" s="9">
        <v>492.37</v>
      </c>
      <c r="H272" s="8">
        <v>1</v>
      </c>
      <c r="I272" s="9">
        <v>20.11</v>
      </c>
    </row>
    <row r="273" spans="1:9" x14ac:dyDescent="0.35">
      <c r="A273" s="7" t="s">
        <v>320</v>
      </c>
      <c r="B273" s="7" t="s">
        <v>232</v>
      </c>
      <c r="C273" s="7" t="s">
        <v>233</v>
      </c>
      <c r="D273" s="7" t="s">
        <v>70</v>
      </c>
      <c r="E273" s="8">
        <v>2948</v>
      </c>
      <c r="F273" s="8">
        <v>83</v>
      </c>
      <c r="G273" s="9">
        <v>491.51</v>
      </c>
      <c r="H273" s="8">
        <v>2</v>
      </c>
      <c r="I273" s="9">
        <v>65.09</v>
      </c>
    </row>
    <row r="274" spans="1:9" x14ac:dyDescent="0.35">
      <c r="A274" s="7" t="s">
        <v>321</v>
      </c>
      <c r="B274" s="7" t="s">
        <v>232</v>
      </c>
      <c r="C274" s="7" t="s">
        <v>233</v>
      </c>
      <c r="D274" s="7" t="s">
        <v>65</v>
      </c>
      <c r="E274" s="8">
        <v>4048</v>
      </c>
      <c r="F274" s="8">
        <v>69</v>
      </c>
      <c r="G274" s="9">
        <v>482.23</v>
      </c>
      <c r="H274" s="8">
        <v>1</v>
      </c>
      <c r="I274" s="9">
        <v>25.56</v>
      </c>
    </row>
    <row r="275" spans="1:9" x14ac:dyDescent="0.35">
      <c r="A275" s="7" t="s">
        <v>322</v>
      </c>
      <c r="B275" s="7" t="s">
        <v>232</v>
      </c>
      <c r="C275" s="7" t="s">
        <v>233</v>
      </c>
      <c r="D275" s="7" t="s">
        <v>65</v>
      </c>
      <c r="E275" s="8">
        <v>2721</v>
      </c>
      <c r="F275" s="8">
        <v>90</v>
      </c>
      <c r="G275" s="9">
        <v>481.16</v>
      </c>
      <c r="H275" s="8">
        <v>1</v>
      </c>
      <c r="I275" s="9">
        <v>32.86</v>
      </c>
    </row>
    <row r="276" spans="1:9" x14ac:dyDescent="0.35">
      <c r="A276" s="7" t="s">
        <v>323</v>
      </c>
      <c r="B276" s="7" t="s">
        <v>232</v>
      </c>
      <c r="C276" s="7" t="s">
        <v>266</v>
      </c>
      <c r="D276" s="7" t="s">
        <v>70</v>
      </c>
      <c r="E276" s="8">
        <v>1011</v>
      </c>
      <c r="F276" s="8">
        <v>57</v>
      </c>
      <c r="G276" s="9">
        <v>473.48</v>
      </c>
      <c r="H276" s="8">
        <v>13</v>
      </c>
      <c r="I276" s="9">
        <v>478.04</v>
      </c>
    </row>
    <row r="277" spans="1:9" x14ac:dyDescent="0.35">
      <c r="A277" s="7" t="s">
        <v>324</v>
      </c>
      <c r="B277" s="7" t="s">
        <v>232</v>
      </c>
      <c r="C277" s="7" t="s">
        <v>266</v>
      </c>
      <c r="D277" s="7" t="s">
        <v>70</v>
      </c>
      <c r="E277" s="8">
        <v>1683</v>
      </c>
      <c r="F277" s="8">
        <v>66</v>
      </c>
      <c r="G277" s="9">
        <v>461.21</v>
      </c>
      <c r="H277" s="8">
        <v>5</v>
      </c>
      <c r="I277" s="9">
        <v>112.76</v>
      </c>
    </row>
    <row r="278" spans="1:9" x14ac:dyDescent="0.35">
      <c r="A278" s="7" t="s">
        <v>325</v>
      </c>
      <c r="B278" s="7" t="s">
        <v>232</v>
      </c>
      <c r="C278" s="7" t="s">
        <v>233</v>
      </c>
      <c r="D278" s="7" t="s">
        <v>70</v>
      </c>
      <c r="E278" s="8">
        <v>2780</v>
      </c>
      <c r="F278" s="8">
        <v>84</v>
      </c>
      <c r="G278" s="9">
        <v>452.31</v>
      </c>
      <c r="H278" s="8">
        <v>1</v>
      </c>
      <c r="I278" s="9">
        <v>30.11</v>
      </c>
    </row>
    <row r="279" spans="1:9" x14ac:dyDescent="0.35">
      <c r="A279" s="7" t="s">
        <v>326</v>
      </c>
      <c r="B279" s="7" t="s">
        <v>232</v>
      </c>
      <c r="C279" s="7" t="s">
        <v>233</v>
      </c>
      <c r="D279" s="7" t="s">
        <v>70</v>
      </c>
      <c r="E279" s="8">
        <v>2907</v>
      </c>
      <c r="F279" s="8">
        <v>78</v>
      </c>
      <c r="G279" s="9">
        <v>438.94</v>
      </c>
      <c r="H279" s="8">
        <v>1</v>
      </c>
      <c r="I279" s="9">
        <v>24.74</v>
      </c>
    </row>
    <row r="280" spans="1:9" x14ac:dyDescent="0.35">
      <c r="A280" s="7" t="s">
        <v>327</v>
      </c>
      <c r="B280" s="7" t="s">
        <v>232</v>
      </c>
      <c r="C280" s="7" t="s">
        <v>233</v>
      </c>
      <c r="D280" s="7" t="s">
        <v>65</v>
      </c>
      <c r="E280" s="8">
        <v>3169</v>
      </c>
      <c r="F280" s="8">
        <v>66</v>
      </c>
      <c r="G280" s="9">
        <v>435.49</v>
      </c>
      <c r="H280" s="8">
        <v>3</v>
      </c>
      <c r="I280" s="9">
        <v>72.95</v>
      </c>
    </row>
    <row r="281" spans="1:9" x14ac:dyDescent="0.35">
      <c r="A281" s="7" t="s">
        <v>328</v>
      </c>
      <c r="B281" s="7" t="s">
        <v>232</v>
      </c>
      <c r="C281" s="7" t="s">
        <v>233</v>
      </c>
      <c r="D281" s="7" t="s">
        <v>65</v>
      </c>
      <c r="E281" s="8">
        <v>1661</v>
      </c>
      <c r="F281" s="8">
        <v>86</v>
      </c>
      <c r="G281" s="9">
        <v>430.63</v>
      </c>
      <c r="H281" s="8">
        <v>1</v>
      </c>
      <c r="I281" s="9">
        <v>19.62</v>
      </c>
    </row>
    <row r="282" spans="1:9" x14ac:dyDescent="0.35">
      <c r="A282" s="7" t="s">
        <v>329</v>
      </c>
      <c r="B282" s="7" t="s">
        <v>232</v>
      </c>
      <c r="C282" s="7" t="s">
        <v>266</v>
      </c>
      <c r="D282" s="7" t="s">
        <v>70</v>
      </c>
      <c r="E282" s="8">
        <v>1298</v>
      </c>
      <c r="F282" s="8">
        <v>60</v>
      </c>
      <c r="G282" s="9">
        <v>428.72</v>
      </c>
      <c r="H282" s="8">
        <v>13</v>
      </c>
      <c r="I282" s="9">
        <v>614.88</v>
      </c>
    </row>
    <row r="283" spans="1:9" x14ac:dyDescent="0.35">
      <c r="A283" s="7" t="s">
        <v>330</v>
      </c>
      <c r="B283" s="7" t="s">
        <v>232</v>
      </c>
      <c r="C283" s="7" t="s">
        <v>242</v>
      </c>
      <c r="D283" s="7" t="s">
        <v>65</v>
      </c>
      <c r="E283" s="8">
        <v>3162</v>
      </c>
      <c r="F283" s="8">
        <v>77</v>
      </c>
      <c r="G283" s="9">
        <v>423.69</v>
      </c>
      <c r="H283" s="8">
        <v>2</v>
      </c>
      <c r="I283" s="9">
        <v>54.36</v>
      </c>
    </row>
    <row r="284" spans="1:9" x14ac:dyDescent="0.35">
      <c r="A284" s="7" t="s">
        <v>331</v>
      </c>
      <c r="B284" s="7" t="s">
        <v>232</v>
      </c>
      <c r="C284" s="7" t="s">
        <v>233</v>
      </c>
      <c r="D284" s="7" t="s">
        <v>36</v>
      </c>
      <c r="E284" s="8">
        <v>768</v>
      </c>
      <c r="F284" s="8">
        <v>43</v>
      </c>
      <c r="G284" s="9">
        <v>379.51</v>
      </c>
      <c r="H284" s="8">
        <v>10</v>
      </c>
      <c r="I284" s="9">
        <v>423.92</v>
      </c>
    </row>
    <row r="285" spans="1:9" x14ac:dyDescent="0.35">
      <c r="A285" s="7" t="s">
        <v>332</v>
      </c>
      <c r="B285" s="7" t="s">
        <v>232</v>
      </c>
      <c r="C285" s="7" t="s">
        <v>233</v>
      </c>
      <c r="D285" s="7" t="s">
        <v>65</v>
      </c>
      <c r="E285" s="8">
        <v>1734</v>
      </c>
      <c r="F285" s="8">
        <v>72</v>
      </c>
      <c r="G285" s="9">
        <v>371.99</v>
      </c>
      <c r="H285" s="8">
        <v>0</v>
      </c>
      <c r="I285" s="9">
        <v>0</v>
      </c>
    </row>
    <row r="286" spans="1:9" x14ac:dyDescent="0.35">
      <c r="A286" s="7" t="s">
        <v>333</v>
      </c>
      <c r="B286" s="7" t="s">
        <v>232</v>
      </c>
      <c r="C286" s="7" t="s">
        <v>233</v>
      </c>
      <c r="D286" s="7" t="s">
        <v>70</v>
      </c>
      <c r="E286" s="8">
        <v>2418</v>
      </c>
      <c r="F286" s="8">
        <v>50</v>
      </c>
      <c r="G286" s="9">
        <v>363.99</v>
      </c>
      <c r="H286" s="8">
        <v>1</v>
      </c>
      <c r="I286" s="9">
        <v>26.56</v>
      </c>
    </row>
    <row r="287" spans="1:9" x14ac:dyDescent="0.35">
      <c r="A287" s="7" t="s">
        <v>334</v>
      </c>
      <c r="B287" s="7" t="s">
        <v>232</v>
      </c>
      <c r="C287" s="7" t="s">
        <v>242</v>
      </c>
      <c r="D287" s="7" t="s">
        <v>70</v>
      </c>
      <c r="E287" s="8">
        <v>2760</v>
      </c>
      <c r="F287" s="8">
        <v>71</v>
      </c>
      <c r="G287" s="9">
        <v>362.29</v>
      </c>
      <c r="H287" s="8">
        <v>1</v>
      </c>
      <c r="I287" s="9">
        <v>29.85</v>
      </c>
    </row>
    <row r="288" spans="1:9" x14ac:dyDescent="0.35">
      <c r="A288" s="7" t="s">
        <v>335</v>
      </c>
      <c r="B288" s="7" t="s">
        <v>232</v>
      </c>
      <c r="C288" s="7" t="s">
        <v>266</v>
      </c>
      <c r="D288" s="7" t="s">
        <v>33</v>
      </c>
      <c r="E288" s="8">
        <v>675</v>
      </c>
      <c r="F288" s="8">
        <v>51</v>
      </c>
      <c r="G288" s="9">
        <v>358.77</v>
      </c>
      <c r="H288" s="8">
        <v>15</v>
      </c>
      <c r="I288" s="9">
        <v>680.25</v>
      </c>
    </row>
    <row r="289" spans="1:9" x14ac:dyDescent="0.35">
      <c r="A289" s="7" t="s">
        <v>336</v>
      </c>
      <c r="B289" s="7" t="s">
        <v>232</v>
      </c>
      <c r="C289" s="7" t="s">
        <v>233</v>
      </c>
      <c r="D289" s="7" t="s">
        <v>33</v>
      </c>
      <c r="E289" s="8">
        <v>2359</v>
      </c>
      <c r="F289" s="8">
        <v>77</v>
      </c>
      <c r="G289" s="9">
        <v>343.92</v>
      </c>
      <c r="H289" s="8">
        <v>1</v>
      </c>
      <c r="I289" s="9">
        <v>19.399999999999999</v>
      </c>
    </row>
    <row r="290" spans="1:9" x14ac:dyDescent="0.35">
      <c r="A290" s="7" t="s">
        <v>337</v>
      </c>
      <c r="B290" s="7" t="s">
        <v>232</v>
      </c>
      <c r="C290" s="7" t="s">
        <v>233</v>
      </c>
      <c r="D290" s="7" t="s">
        <v>65</v>
      </c>
      <c r="E290" s="8">
        <v>4324</v>
      </c>
      <c r="F290" s="8">
        <v>65</v>
      </c>
      <c r="G290" s="9">
        <v>329.64</v>
      </c>
      <c r="H290" s="8">
        <v>0</v>
      </c>
      <c r="I290" s="9">
        <v>0</v>
      </c>
    </row>
    <row r="291" spans="1:9" x14ac:dyDescent="0.35">
      <c r="A291" s="7" t="s">
        <v>338</v>
      </c>
      <c r="B291" s="7" t="s">
        <v>232</v>
      </c>
      <c r="C291" s="7" t="s">
        <v>242</v>
      </c>
      <c r="D291" s="7" t="s">
        <v>70</v>
      </c>
      <c r="E291" s="8">
        <v>2624</v>
      </c>
      <c r="F291" s="8">
        <v>55</v>
      </c>
      <c r="G291" s="9">
        <v>315.3</v>
      </c>
      <c r="H291" s="8">
        <v>2</v>
      </c>
      <c r="I291" s="9">
        <v>42.5</v>
      </c>
    </row>
    <row r="292" spans="1:9" x14ac:dyDescent="0.35">
      <c r="A292" s="7" t="s">
        <v>339</v>
      </c>
      <c r="B292" s="7" t="s">
        <v>232</v>
      </c>
      <c r="C292" s="7" t="s">
        <v>242</v>
      </c>
      <c r="D292" s="7" t="s">
        <v>70</v>
      </c>
      <c r="E292" s="8">
        <v>2060</v>
      </c>
      <c r="F292" s="8">
        <v>40</v>
      </c>
      <c r="G292" s="9">
        <v>292.66000000000003</v>
      </c>
      <c r="H292" s="8">
        <v>2</v>
      </c>
      <c r="I292" s="9">
        <v>75.52</v>
      </c>
    </row>
    <row r="293" spans="1:9" x14ac:dyDescent="0.35">
      <c r="A293" s="7" t="s">
        <v>340</v>
      </c>
      <c r="B293" s="7" t="s">
        <v>232</v>
      </c>
      <c r="C293" s="7" t="s">
        <v>266</v>
      </c>
      <c r="D293" s="7" t="s">
        <v>70</v>
      </c>
      <c r="E293" s="8">
        <v>1934</v>
      </c>
      <c r="F293" s="8">
        <v>47</v>
      </c>
      <c r="G293" s="9">
        <v>292.63</v>
      </c>
      <c r="H293" s="8">
        <v>0</v>
      </c>
      <c r="I293" s="9">
        <v>0</v>
      </c>
    </row>
    <row r="294" spans="1:9" x14ac:dyDescent="0.35">
      <c r="A294" s="7" t="s">
        <v>341</v>
      </c>
      <c r="B294" s="7" t="s">
        <v>232</v>
      </c>
      <c r="C294" s="7" t="s">
        <v>233</v>
      </c>
      <c r="D294" s="7" t="s">
        <v>70</v>
      </c>
      <c r="E294" s="8">
        <v>3386</v>
      </c>
      <c r="F294" s="8">
        <v>56</v>
      </c>
      <c r="G294" s="9">
        <v>289.08999999999997</v>
      </c>
      <c r="H294" s="8">
        <v>1</v>
      </c>
      <c r="I294" s="9">
        <v>25.38</v>
      </c>
    </row>
    <row r="295" spans="1:9" x14ac:dyDescent="0.35">
      <c r="A295" s="7" t="s">
        <v>342</v>
      </c>
      <c r="B295" s="7" t="s">
        <v>232</v>
      </c>
      <c r="C295" s="7" t="s">
        <v>266</v>
      </c>
      <c r="D295" s="7" t="s">
        <v>65</v>
      </c>
      <c r="E295" s="8">
        <v>2348</v>
      </c>
      <c r="F295" s="8">
        <v>52</v>
      </c>
      <c r="G295" s="9">
        <v>285.64999999999998</v>
      </c>
      <c r="H295" s="8">
        <v>1</v>
      </c>
      <c r="I295" s="9">
        <v>29.64</v>
      </c>
    </row>
    <row r="296" spans="1:9" x14ac:dyDescent="0.35">
      <c r="A296" s="7" t="s">
        <v>343</v>
      </c>
      <c r="B296" s="7" t="s">
        <v>232</v>
      </c>
      <c r="C296" s="7" t="s">
        <v>233</v>
      </c>
      <c r="D296" s="7" t="s">
        <v>65</v>
      </c>
      <c r="E296" s="8">
        <v>2660</v>
      </c>
      <c r="F296" s="8">
        <v>62</v>
      </c>
      <c r="G296" s="9">
        <v>276.83999999999997</v>
      </c>
      <c r="H296" s="8">
        <v>0</v>
      </c>
      <c r="I296" s="9">
        <v>0</v>
      </c>
    </row>
    <row r="297" spans="1:9" x14ac:dyDescent="0.35">
      <c r="A297" s="7" t="s">
        <v>344</v>
      </c>
      <c r="B297" s="7" t="s">
        <v>232</v>
      </c>
      <c r="C297" s="7" t="s">
        <v>266</v>
      </c>
      <c r="D297" s="7" t="s">
        <v>70</v>
      </c>
      <c r="E297" s="8">
        <v>2521</v>
      </c>
      <c r="F297" s="8">
        <v>49</v>
      </c>
      <c r="G297" s="9">
        <v>263.27999999999997</v>
      </c>
      <c r="H297" s="8">
        <v>0</v>
      </c>
      <c r="I297" s="9">
        <v>0</v>
      </c>
    </row>
    <row r="298" spans="1:9" x14ac:dyDescent="0.35">
      <c r="A298" s="7" t="s">
        <v>345</v>
      </c>
      <c r="B298" s="7" t="s">
        <v>232</v>
      </c>
      <c r="C298" s="7" t="s">
        <v>233</v>
      </c>
      <c r="D298" s="7" t="s">
        <v>70</v>
      </c>
      <c r="E298" s="8">
        <v>2219</v>
      </c>
      <c r="F298" s="8">
        <v>40</v>
      </c>
      <c r="G298" s="9">
        <v>245.82</v>
      </c>
      <c r="H298" s="8">
        <v>1</v>
      </c>
      <c r="I298" s="9">
        <v>23.47</v>
      </c>
    </row>
    <row r="299" spans="1:9" x14ac:dyDescent="0.35">
      <c r="A299" s="7" t="s">
        <v>346</v>
      </c>
      <c r="B299" s="7" t="s">
        <v>232</v>
      </c>
      <c r="C299" s="7" t="s">
        <v>242</v>
      </c>
      <c r="D299" s="7" t="s">
        <v>65</v>
      </c>
      <c r="E299" s="8">
        <v>1793</v>
      </c>
      <c r="F299" s="8">
        <v>32</v>
      </c>
      <c r="G299" s="9">
        <v>239.75</v>
      </c>
      <c r="H299" s="8">
        <v>2</v>
      </c>
      <c r="I299" s="9">
        <v>92.71</v>
      </c>
    </row>
    <row r="300" spans="1:9" x14ac:dyDescent="0.35">
      <c r="A300" s="7" t="s">
        <v>347</v>
      </c>
      <c r="B300" s="7" t="s">
        <v>232</v>
      </c>
      <c r="C300" s="7" t="s">
        <v>233</v>
      </c>
      <c r="D300" s="7" t="s">
        <v>70</v>
      </c>
      <c r="E300" s="8">
        <v>2019</v>
      </c>
      <c r="F300" s="8">
        <v>34</v>
      </c>
      <c r="G300" s="9">
        <v>236.69</v>
      </c>
      <c r="H300" s="8">
        <v>1</v>
      </c>
      <c r="I300" s="9">
        <v>24.87</v>
      </c>
    </row>
    <row r="301" spans="1:9" x14ac:dyDescent="0.35">
      <c r="A301" s="7" t="s">
        <v>348</v>
      </c>
      <c r="B301" s="7" t="s">
        <v>232</v>
      </c>
      <c r="C301" s="7" t="s">
        <v>233</v>
      </c>
      <c r="D301" s="7" t="s">
        <v>70</v>
      </c>
      <c r="E301" s="8">
        <v>1899</v>
      </c>
      <c r="F301" s="8">
        <v>40</v>
      </c>
      <c r="G301" s="9">
        <v>230.6</v>
      </c>
      <c r="H301" s="8">
        <v>2</v>
      </c>
      <c r="I301" s="9">
        <v>38.53</v>
      </c>
    </row>
    <row r="302" spans="1:9" x14ac:dyDescent="0.35">
      <c r="A302" s="7" t="s">
        <v>349</v>
      </c>
      <c r="B302" s="7" t="s">
        <v>232</v>
      </c>
      <c r="C302" s="7" t="s">
        <v>233</v>
      </c>
      <c r="D302" s="7" t="s">
        <v>65</v>
      </c>
      <c r="E302" s="8">
        <v>1433</v>
      </c>
      <c r="F302" s="8">
        <v>47</v>
      </c>
      <c r="G302" s="9">
        <v>224.17</v>
      </c>
      <c r="H302" s="8">
        <v>1</v>
      </c>
      <c r="I302" s="9">
        <v>29.33</v>
      </c>
    </row>
    <row r="303" spans="1:9" x14ac:dyDescent="0.35">
      <c r="A303" s="7" t="s">
        <v>350</v>
      </c>
      <c r="B303" s="7" t="s">
        <v>232</v>
      </c>
      <c r="C303" s="7" t="s">
        <v>233</v>
      </c>
      <c r="D303" s="7" t="s">
        <v>70</v>
      </c>
      <c r="E303" s="8">
        <v>1270</v>
      </c>
      <c r="F303" s="8">
        <v>36</v>
      </c>
      <c r="G303" s="9">
        <v>220.02</v>
      </c>
      <c r="H303" s="8">
        <v>6</v>
      </c>
      <c r="I303" s="9">
        <v>257.07</v>
      </c>
    </row>
    <row r="304" spans="1:9" x14ac:dyDescent="0.35">
      <c r="A304" s="7" t="s">
        <v>351</v>
      </c>
      <c r="B304" s="7" t="s">
        <v>232</v>
      </c>
      <c r="C304" s="7" t="s">
        <v>233</v>
      </c>
      <c r="D304" s="7" t="s">
        <v>70</v>
      </c>
      <c r="E304" s="8">
        <v>2193</v>
      </c>
      <c r="F304" s="8">
        <v>33</v>
      </c>
      <c r="G304" s="9">
        <v>198.4</v>
      </c>
      <c r="H304" s="8">
        <v>1</v>
      </c>
      <c r="I304" s="9">
        <v>25.28</v>
      </c>
    </row>
    <row r="305" spans="1:9" x14ac:dyDescent="0.35">
      <c r="A305" s="7" t="s">
        <v>352</v>
      </c>
      <c r="B305" s="7" t="s">
        <v>232</v>
      </c>
      <c r="C305" s="7" t="s">
        <v>233</v>
      </c>
      <c r="D305" s="7" t="s">
        <v>70</v>
      </c>
      <c r="E305" s="8">
        <v>1146</v>
      </c>
      <c r="F305" s="8">
        <v>31</v>
      </c>
      <c r="G305" s="9">
        <v>198.06</v>
      </c>
      <c r="H305" s="8">
        <v>2</v>
      </c>
      <c r="I305" s="9">
        <v>45.62</v>
      </c>
    </row>
    <row r="306" spans="1:9" x14ac:dyDescent="0.35">
      <c r="A306" s="7" t="s">
        <v>353</v>
      </c>
      <c r="B306" s="7" t="s">
        <v>232</v>
      </c>
      <c r="C306" s="7" t="s">
        <v>266</v>
      </c>
      <c r="D306" s="7" t="s">
        <v>36</v>
      </c>
      <c r="E306" s="8">
        <v>454</v>
      </c>
      <c r="F306" s="8">
        <v>25</v>
      </c>
      <c r="G306" s="9">
        <v>194.71</v>
      </c>
      <c r="H306" s="8">
        <v>5</v>
      </c>
      <c r="I306" s="9">
        <v>234.3</v>
      </c>
    </row>
    <row r="307" spans="1:9" x14ac:dyDescent="0.35">
      <c r="A307" s="7" t="s">
        <v>354</v>
      </c>
      <c r="B307" s="7" t="s">
        <v>232</v>
      </c>
      <c r="C307" s="7" t="s">
        <v>266</v>
      </c>
      <c r="D307" s="7" t="s">
        <v>70</v>
      </c>
      <c r="E307" s="8">
        <v>1470</v>
      </c>
      <c r="F307" s="8">
        <v>33</v>
      </c>
      <c r="G307" s="9">
        <v>188.65</v>
      </c>
      <c r="H307" s="8">
        <v>1</v>
      </c>
      <c r="I307" s="9">
        <v>32.21</v>
      </c>
    </row>
    <row r="308" spans="1:9" x14ac:dyDescent="0.35">
      <c r="A308" s="7" t="s">
        <v>355</v>
      </c>
      <c r="B308" s="7" t="s">
        <v>232</v>
      </c>
      <c r="C308" s="7" t="s">
        <v>240</v>
      </c>
      <c r="D308" s="7" t="s">
        <v>70</v>
      </c>
      <c r="E308" s="8">
        <v>1725</v>
      </c>
      <c r="F308" s="8">
        <v>27</v>
      </c>
      <c r="G308" s="9">
        <v>180.65</v>
      </c>
      <c r="H308" s="8">
        <v>0</v>
      </c>
      <c r="I308" s="9">
        <v>0</v>
      </c>
    </row>
    <row r="309" spans="1:9" x14ac:dyDescent="0.35">
      <c r="A309" s="7" t="s">
        <v>356</v>
      </c>
      <c r="B309" s="7" t="s">
        <v>232</v>
      </c>
      <c r="C309" s="7" t="s">
        <v>266</v>
      </c>
      <c r="D309" s="7" t="s">
        <v>70</v>
      </c>
      <c r="E309" s="8">
        <v>807</v>
      </c>
      <c r="F309" s="8">
        <v>27</v>
      </c>
      <c r="G309" s="9">
        <v>179.3</v>
      </c>
      <c r="H309" s="8">
        <v>2</v>
      </c>
      <c r="I309" s="9">
        <v>41.18</v>
      </c>
    </row>
    <row r="310" spans="1:9" x14ac:dyDescent="0.35">
      <c r="A310" s="7" t="s">
        <v>357</v>
      </c>
      <c r="B310" s="7" t="s">
        <v>232</v>
      </c>
      <c r="C310" s="7" t="s">
        <v>233</v>
      </c>
      <c r="D310" s="7" t="s">
        <v>33</v>
      </c>
      <c r="E310" s="8">
        <v>972</v>
      </c>
      <c r="F310" s="8">
        <v>39</v>
      </c>
      <c r="G310" s="9">
        <v>179.12</v>
      </c>
      <c r="H310" s="8">
        <v>2</v>
      </c>
      <c r="I310" s="9">
        <v>40.68</v>
      </c>
    </row>
    <row r="311" spans="1:9" x14ac:dyDescent="0.35">
      <c r="A311" s="7" t="s">
        <v>358</v>
      </c>
      <c r="B311" s="7" t="s">
        <v>232</v>
      </c>
      <c r="C311" s="7" t="s">
        <v>233</v>
      </c>
      <c r="D311" s="7" t="s">
        <v>70</v>
      </c>
      <c r="E311" s="8">
        <v>1511</v>
      </c>
      <c r="F311" s="8">
        <v>30</v>
      </c>
      <c r="G311" s="9">
        <v>158.34</v>
      </c>
      <c r="H311" s="8">
        <v>1</v>
      </c>
      <c r="I311" s="9">
        <v>27.92</v>
      </c>
    </row>
    <row r="312" spans="1:9" x14ac:dyDescent="0.35">
      <c r="A312" s="7" t="s">
        <v>359</v>
      </c>
      <c r="B312" s="7" t="s">
        <v>232</v>
      </c>
      <c r="C312" s="7" t="s">
        <v>233</v>
      </c>
      <c r="D312" s="7" t="s">
        <v>65</v>
      </c>
      <c r="E312" s="8">
        <v>1111</v>
      </c>
      <c r="F312" s="8">
        <v>21</v>
      </c>
      <c r="G312" s="9">
        <v>107.04</v>
      </c>
      <c r="H312" s="8">
        <v>0</v>
      </c>
      <c r="I312" s="9">
        <v>0</v>
      </c>
    </row>
    <row r="313" spans="1:9" x14ac:dyDescent="0.35">
      <c r="A313" s="7" t="s">
        <v>360</v>
      </c>
      <c r="B313" s="7" t="s">
        <v>361</v>
      </c>
      <c r="C313" s="7" t="s">
        <v>362</v>
      </c>
      <c r="D313" s="7" t="s">
        <v>33</v>
      </c>
      <c r="E313" s="8">
        <v>21078</v>
      </c>
      <c r="F313" s="8">
        <v>1496</v>
      </c>
      <c r="G313" s="9">
        <v>4919.9399999999996</v>
      </c>
      <c r="H313" s="8">
        <v>446</v>
      </c>
      <c r="I313" s="9">
        <v>8810.09</v>
      </c>
    </row>
    <row r="314" spans="1:9" x14ac:dyDescent="0.35">
      <c r="A314" s="7" t="s">
        <v>363</v>
      </c>
      <c r="B314" s="7" t="s">
        <v>361</v>
      </c>
      <c r="C314" s="7" t="s">
        <v>364</v>
      </c>
      <c r="D314" s="7" t="s">
        <v>36</v>
      </c>
      <c r="E314" s="8">
        <v>8097</v>
      </c>
      <c r="F314" s="8">
        <v>688</v>
      </c>
      <c r="G314" s="9">
        <v>2255.5700000000002</v>
      </c>
      <c r="H314" s="8">
        <v>230</v>
      </c>
      <c r="I314" s="9">
        <v>4579.63</v>
      </c>
    </row>
    <row r="315" spans="1:9" x14ac:dyDescent="0.35">
      <c r="A315" s="7" t="s">
        <v>365</v>
      </c>
      <c r="B315" s="7" t="s">
        <v>361</v>
      </c>
      <c r="C315" s="7" t="s">
        <v>366</v>
      </c>
      <c r="D315" s="7" t="s">
        <v>33</v>
      </c>
      <c r="E315" s="8">
        <v>7663</v>
      </c>
      <c r="F315" s="8">
        <v>618</v>
      </c>
      <c r="G315" s="9">
        <v>2089.0700000000002</v>
      </c>
      <c r="H315" s="8">
        <v>235</v>
      </c>
      <c r="I315" s="9">
        <v>4985.68</v>
      </c>
    </row>
    <row r="316" spans="1:9" x14ac:dyDescent="0.35">
      <c r="A316" s="7" t="s">
        <v>367</v>
      </c>
      <c r="B316" s="7" t="s">
        <v>361</v>
      </c>
      <c r="C316" s="7" t="s">
        <v>368</v>
      </c>
      <c r="D316" s="7" t="s">
        <v>33</v>
      </c>
      <c r="E316" s="8">
        <v>5630</v>
      </c>
      <c r="F316" s="8">
        <v>497</v>
      </c>
      <c r="G316" s="9">
        <v>1953.33</v>
      </c>
      <c r="H316" s="8">
        <v>109</v>
      </c>
      <c r="I316" s="9">
        <v>2236.17</v>
      </c>
    </row>
    <row r="317" spans="1:9" x14ac:dyDescent="0.35">
      <c r="A317" s="7" t="s">
        <v>369</v>
      </c>
      <c r="B317" s="7" t="s">
        <v>361</v>
      </c>
      <c r="C317" s="7" t="s">
        <v>362</v>
      </c>
      <c r="D317" s="7" t="s">
        <v>36</v>
      </c>
      <c r="E317" s="8">
        <v>5974</v>
      </c>
      <c r="F317" s="8">
        <v>462</v>
      </c>
      <c r="G317" s="9">
        <v>1625.86</v>
      </c>
      <c r="H317" s="8">
        <v>128</v>
      </c>
      <c r="I317" s="9">
        <v>2642.05</v>
      </c>
    </row>
    <row r="318" spans="1:9" x14ac:dyDescent="0.35">
      <c r="A318" s="7" t="s">
        <v>370</v>
      </c>
      <c r="B318" s="7" t="s">
        <v>361</v>
      </c>
      <c r="C318" s="7" t="s">
        <v>366</v>
      </c>
      <c r="D318" s="7" t="s">
        <v>33</v>
      </c>
      <c r="E318" s="8">
        <v>3464</v>
      </c>
      <c r="F318" s="8">
        <v>412</v>
      </c>
      <c r="G318" s="9">
        <v>1510.99</v>
      </c>
      <c r="H318" s="8">
        <v>94</v>
      </c>
      <c r="I318" s="9">
        <v>1897.6</v>
      </c>
    </row>
    <row r="319" spans="1:9" x14ac:dyDescent="0.35">
      <c r="A319" s="7" t="s">
        <v>371</v>
      </c>
      <c r="B319" s="7" t="s">
        <v>361</v>
      </c>
      <c r="C319" s="7" t="s">
        <v>366</v>
      </c>
      <c r="D319" s="7" t="s">
        <v>33</v>
      </c>
      <c r="E319" s="8">
        <v>4341</v>
      </c>
      <c r="F319" s="8">
        <v>453</v>
      </c>
      <c r="G319" s="9">
        <v>1485.74</v>
      </c>
      <c r="H319" s="8">
        <v>134</v>
      </c>
      <c r="I319" s="9">
        <v>2595.9499999999998</v>
      </c>
    </row>
    <row r="320" spans="1:9" x14ac:dyDescent="0.35">
      <c r="A320" s="7" t="s">
        <v>372</v>
      </c>
      <c r="B320" s="7" t="s">
        <v>361</v>
      </c>
      <c r="C320" s="7" t="s">
        <v>366</v>
      </c>
      <c r="D320" s="7" t="s">
        <v>33</v>
      </c>
      <c r="E320" s="8">
        <v>6552</v>
      </c>
      <c r="F320" s="8">
        <v>411</v>
      </c>
      <c r="G320" s="9">
        <v>1475.66</v>
      </c>
      <c r="H320" s="8">
        <v>119</v>
      </c>
      <c r="I320" s="9">
        <v>2234.5700000000002</v>
      </c>
    </row>
    <row r="321" spans="1:9" x14ac:dyDescent="0.35">
      <c r="A321" s="7" t="s">
        <v>373</v>
      </c>
      <c r="B321" s="7" t="s">
        <v>361</v>
      </c>
      <c r="C321" s="7" t="s">
        <v>362</v>
      </c>
      <c r="D321" s="7" t="s">
        <v>33</v>
      </c>
      <c r="E321" s="8">
        <v>6985</v>
      </c>
      <c r="F321" s="8">
        <v>414</v>
      </c>
      <c r="G321" s="9">
        <v>1378.6</v>
      </c>
      <c r="H321" s="8">
        <v>84</v>
      </c>
      <c r="I321" s="9">
        <v>1522.47</v>
      </c>
    </row>
    <row r="322" spans="1:9" x14ac:dyDescent="0.35">
      <c r="A322" s="7" t="s">
        <v>374</v>
      </c>
      <c r="B322" s="7" t="s">
        <v>361</v>
      </c>
      <c r="C322" s="7" t="s">
        <v>362</v>
      </c>
      <c r="D322" s="7" t="s">
        <v>36</v>
      </c>
      <c r="E322" s="8">
        <v>3767</v>
      </c>
      <c r="F322" s="8">
        <v>407</v>
      </c>
      <c r="G322" s="9">
        <v>1372.51</v>
      </c>
      <c r="H322" s="8">
        <v>117</v>
      </c>
      <c r="I322" s="9">
        <v>2624.89</v>
      </c>
    </row>
    <row r="323" spans="1:9" x14ac:dyDescent="0.35">
      <c r="A323" s="7" t="s">
        <v>375</v>
      </c>
      <c r="B323" s="7" t="s">
        <v>361</v>
      </c>
      <c r="C323" s="7" t="s">
        <v>368</v>
      </c>
      <c r="D323" s="7" t="s">
        <v>36</v>
      </c>
      <c r="E323" s="8">
        <v>5393</v>
      </c>
      <c r="F323" s="8">
        <v>410</v>
      </c>
      <c r="G323" s="9">
        <v>1353.06</v>
      </c>
      <c r="H323" s="8">
        <v>124</v>
      </c>
      <c r="I323" s="9">
        <v>2909.91</v>
      </c>
    </row>
    <row r="324" spans="1:9" x14ac:dyDescent="0.35">
      <c r="A324" s="7" t="s">
        <v>376</v>
      </c>
      <c r="B324" s="7" t="s">
        <v>361</v>
      </c>
      <c r="C324" s="7" t="s">
        <v>364</v>
      </c>
      <c r="D324" s="7" t="s">
        <v>36</v>
      </c>
      <c r="E324" s="8">
        <v>5315</v>
      </c>
      <c r="F324" s="8">
        <v>428</v>
      </c>
      <c r="G324" s="9">
        <v>1256.5</v>
      </c>
      <c r="H324" s="8">
        <v>140</v>
      </c>
      <c r="I324" s="9">
        <v>3115.6</v>
      </c>
    </row>
    <row r="325" spans="1:9" x14ac:dyDescent="0.35">
      <c r="A325" s="7" t="s">
        <v>377</v>
      </c>
      <c r="B325" s="7" t="s">
        <v>361</v>
      </c>
      <c r="C325" s="7" t="s">
        <v>368</v>
      </c>
      <c r="D325" s="7" t="s">
        <v>36</v>
      </c>
      <c r="E325" s="8">
        <v>3593</v>
      </c>
      <c r="F325" s="8">
        <v>332</v>
      </c>
      <c r="G325" s="9">
        <v>1227.21</v>
      </c>
      <c r="H325" s="8">
        <v>94</v>
      </c>
      <c r="I325" s="9">
        <v>2073.39</v>
      </c>
    </row>
    <row r="326" spans="1:9" x14ac:dyDescent="0.35">
      <c r="A326" s="7" t="s">
        <v>378</v>
      </c>
      <c r="B326" s="7" t="s">
        <v>361</v>
      </c>
      <c r="C326" s="7" t="s">
        <v>364</v>
      </c>
      <c r="D326" s="7" t="s">
        <v>36</v>
      </c>
      <c r="E326" s="8">
        <v>3960</v>
      </c>
      <c r="F326" s="8">
        <v>366</v>
      </c>
      <c r="G326" s="9">
        <v>1207.08</v>
      </c>
      <c r="H326" s="8">
        <v>97</v>
      </c>
      <c r="I326" s="9">
        <v>2060.27</v>
      </c>
    </row>
    <row r="327" spans="1:9" x14ac:dyDescent="0.35">
      <c r="A327" s="7" t="s">
        <v>379</v>
      </c>
      <c r="B327" s="7" t="s">
        <v>361</v>
      </c>
      <c r="C327" s="7" t="s">
        <v>362</v>
      </c>
      <c r="D327" s="7" t="s">
        <v>33</v>
      </c>
      <c r="E327" s="8">
        <v>3565</v>
      </c>
      <c r="F327" s="8">
        <v>351</v>
      </c>
      <c r="G327" s="9">
        <v>1203.49</v>
      </c>
      <c r="H327" s="8">
        <v>94</v>
      </c>
      <c r="I327" s="9">
        <v>1999.68</v>
      </c>
    </row>
    <row r="328" spans="1:9" x14ac:dyDescent="0.35">
      <c r="A328" s="7" t="s">
        <v>380</v>
      </c>
      <c r="B328" s="7" t="s">
        <v>361</v>
      </c>
      <c r="C328" s="7" t="s">
        <v>362</v>
      </c>
      <c r="D328" s="7" t="s">
        <v>36</v>
      </c>
      <c r="E328" s="8">
        <v>4212</v>
      </c>
      <c r="F328" s="8">
        <v>300</v>
      </c>
      <c r="G328" s="9">
        <v>1141.81</v>
      </c>
      <c r="H328" s="8">
        <v>91</v>
      </c>
      <c r="I328" s="9">
        <v>1978.87</v>
      </c>
    </row>
    <row r="329" spans="1:9" x14ac:dyDescent="0.35">
      <c r="A329" s="7" t="s">
        <v>381</v>
      </c>
      <c r="B329" s="7" t="s">
        <v>361</v>
      </c>
      <c r="C329" s="7" t="s">
        <v>362</v>
      </c>
      <c r="D329" s="7" t="s">
        <v>33</v>
      </c>
      <c r="E329" s="8">
        <v>3404</v>
      </c>
      <c r="F329" s="8">
        <v>349</v>
      </c>
      <c r="G329" s="9">
        <v>1059.6500000000001</v>
      </c>
      <c r="H329" s="8">
        <v>98</v>
      </c>
      <c r="I329" s="9">
        <v>2068.5</v>
      </c>
    </row>
    <row r="330" spans="1:9" x14ac:dyDescent="0.35">
      <c r="A330" s="7" t="s">
        <v>382</v>
      </c>
      <c r="B330" s="7" t="s">
        <v>361</v>
      </c>
      <c r="C330" s="7" t="s">
        <v>364</v>
      </c>
      <c r="D330" s="7" t="s">
        <v>33</v>
      </c>
      <c r="E330" s="8">
        <v>5100</v>
      </c>
      <c r="F330" s="8">
        <v>304</v>
      </c>
      <c r="G330" s="9">
        <v>1040.96</v>
      </c>
      <c r="H330" s="8">
        <v>75</v>
      </c>
      <c r="I330" s="9">
        <v>1784.75</v>
      </c>
    </row>
    <row r="331" spans="1:9" x14ac:dyDescent="0.35">
      <c r="A331" s="7" t="s">
        <v>383</v>
      </c>
      <c r="B331" s="7" t="s">
        <v>361</v>
      </c>
      <c r="C331" s="7" t="s">
        <v>362</v>
      </c>
      <c r="D331" s="7" t="s">
        <v>36</v>
      </c>
      <c r="E331" s="8">
        <v>3313</v>
      </c>
      <c r="F331" s="8">
        <v>292</v>
      </c>
      <c r="G331" s="9">
        <v>1040.75</v>
      </c>
      <c r="H331" s="8">
        <v>77</v>
      </c>
      <c r="I331" s="9">
        <v>1735.8</v>
      </c>
    </row>
    <row r="332" spans="1:9" x14ac:dyDescent="0.35">
      <c r="A332" s="7" t="s">
        <v>384</v>
      </c>
      <c r="B332" s="7" t="s">
        <v>361</v>
      </c>
      <c r="C332" s="7" t="s">
        <v>362</v>
      </c>
      <c r="D332" s="7" t="s">
        <v>33</v>
      </c>
      <c r="E332" s="8">
        <v>2906</v>
      </c>
      <c r="F332" s="8">
        <v>308</v>
      </c>
      <c r="G332" s="9">
        <v>987.13</v>
      </c>
      <c r="H332" s="8">
        <v>116</v>
      </c>
      <c r="I332" s="9">
        <v>2631.08</v>
      </c>
    </row>
    <row r="333" spans="1:9" x14ac:dyDescent="0.35">
      <c r="A333" s="7" t="s">
        <v>385</v>
      </c>
      <c r="B333" s="7" t="s">
        <v>361</v>
      </c>
      <c r="C333" s="7" t="s">
        <v>362</v>
      </c>
      <c r="D333" s="7" t="s">
        <v>36</v>
      </c>
      <c r="E333" s="8">
        <v>3845</v>
      </c>
      <c r="F333" s="8">
        <v>293</v>
      </c>
      <c r="G333" s="9">
        <v>955.61</v>
      </c>
      <c r="H333" s="8">
        <v>80</v>
      </c>
      <c r="I333" s="9">
        <v>1777.32</v>
      </c>
    </row>
    <row r="334" spans="1:9" x14ac:dyDescent="0.35">
      <c r="A334" s="7" t="s">
        <v>386</v>
      </c>
      <c r="B334" s="7" t="s">
        <v>361</v>
      </c>
      <c r="C334" s="7" t="s">
        <v>362</v>
      </c>
      <c r="D334" s="7" t="s">
        <v>36</v>
      </c>
      <c r="E334" s="8">
        <v>2927</v>
      </c>
      <c r="F334" s="8">
        <v>254</v>
      </c>
      <c r="G334" s="9">
        <v>945.57</v>
      </c>
      <c r="H334" s="8">
        <v>73</v>
      </c>
      <c r="I334" s="9">
        <v>1349.3</v>
      </c>
    </row>
    <row r="335" spans="1:9" x14ac:dyDescent="0.35">
      <c r="A335" s="7" t="s">
        <v>387</v>
      </c>
      <c r="B335" s="7" t="s">
        <v>361</v>
      </c>
      <c r="C335" s="7" t="s">
        <v>362</v>
      </c>
      <c r="D335" s="7" t="s">
        <v>33</v>
      </c>
      <c r="E335" s="8">
        <v>3084</v>
      </c>
      <c r="F335" s="8">
        <v>273</v>
      </c>
      <c r="G335" s="9">
        <v>934.92</v>
      </c>
      <c r="H335" s="8">
        <v>74</v>
      </c>
      <c r="I335" s="9">
        <v>1629.2</v>
      </c>
    </row>
    <row r="336" spans="1:9" x14ac:dyDescent="0.35">
      <c r="A336" s="7" t="s">
        <v>388</v>
      </c>
      <c r="B336" s="7" t="s">
        <v>361</v>
      </c>
      <c r="C336" s="7" t="s">
        <v>368</v>
      </c>
      <c r="D336" s="7" t="s">
        <v>36</v>
      </c>
      <c r="E336" s="8">
        <v>2377</v>
      </c>
      <c r="F336" s="8">
        <v>251</v>
      </c>
      <c r="G336" s="9">
        <v>929</v>
      </c>
      <c r="H336" s="8">
        <v>75</v>
      </c>
      <c r="I336" s="9">
        <v>1446.17</v>
      </c>
    </row>
    <row r="337" spans="1:9" x14ac:dyDescent="0.35">
      <c r="A337" s="7" t="s">
        <v>389</v>
      </c>
      <c r="B337" s="7" t="s">
        <v>361</v>
      </c>
      <c r="C337" s="7" t="s">
        <v>362</v>
      </c>
      <c r="D337" s="7" t="s">
        <v>36</v>
      </c>
      <c r="E337" s="8">
        <v>2892</v>
      </c>
      <c r="F337" s="8">
        <v>265</v>
      </c>
      <c r="G337" s="9">
        <v>903.05</v>
      </c>
      <c r="H337" s="8">
        <v>72</v>
      </c>
      <c r="I337" s="9">
        <v>1330.24</v>
      </c>
    </row>
    <row r="338" spans="1:9" x14ac:dyDescent="0.35">
      <c r="A338" s="7" t="s">
        <v>390</v>
      </c>
      <c r="B338" s="7" t="s">
        <v>361</v>
      </c>
      <c r="C338" s="7" t="s">
        <v>362</v>
      </c>
      <c r="D338" s="7" t="s">
        <v>36</v>
      </c>
      <c r="E338" s="8">
        <v>3023</v>
      </c>
      <c r="F338" s="8">
        <v>281</v>
      </c>
      <c r="G338" s="9">
        <v>900.11</v>
      </c>
      <c r="H338" s="8">
        <v>67</v>
      </c>
      <c r="I338" s="9">
        <v>1432.14</v>
      </c>
    </row>
    <row r="339" spans="1:9" x14ac:dyDescent="0.35">
      <c r="A339" s="7" t="s">
        <v>391</v>
      </c>
      <c r="B339" s="7" t="s">
        <v>361</v>
      </c>
      <c r="C339" s="7" t="s">
        <v>368</v>
      </c>
      <c r="D339" s="7" t="s">
        <v>33</v>
      </c>
      <c r="E339" s="8">
        <v>3658</v>
      </c>
      <c r="F339" s="8">
        <v>265</v>
      </c>
      <c r="G339" s="9">
        <v>841.7</v>
      </c>
      <c r="H339" s="8">
        <v>72</v>
      </c>
      <c r="I339" s="9">
        <v>1627.78</v>
      </c>
    </row>
    <row r="340" spans="1:9" x14ac:dyDescent="0.35">
      <c r="A340" s="7" t="s">
        <v>392</v>
      </c>
      <c r="B340" s="7" t="s">
        <v>361</v>
      </c>
      <c r="C340" s="7" t="s">
        <v>362</v>
      </c>
      <c r="D340" s="7" t="s">
        <v>33</v>
      </c>
      <c r="E340" s="8">
        <v>2384</v>
      </c>
      <c r="F340" s="8">
        <v>258</v>
      </c>
      <c r="G340" s="9">
        <v>834.7</v>
      </c>
      <c r="H340" s="8">
        <v>73</v>
      </c>
      <c r="I340" s="9">
        <v>1731.12</v>
      </c>
    </row>
    <row r="341" spans="1:9" x14ac:dyDescent="0.35">
      <c r="A341" s="7" t="s">
        <v>393</v>
      </c>
      <c r="B341" s="7" t="s">
        <v>361</v>
      </c>
      <c r="C341" s="7" t="s">
        <v>368</v>
      </c>
      <c r="D341" s="7" t="s">
        <v>36</v>
      </c>
      <c r="E341" s="8">
        <v>2001</v>
      </c>
      <c r="F341" s="8">
        <v>197</v>
      </c>
      <c r="G341" s="9">
        <v>648.05999999999995</v>
      </c>
      <c r="H341" s="8">
        <v>64</v>
      </c>
      <c r="I341" s="9">
        <v>1404.58</v>
      </c>
    </row>
    <row r="342" spans="1:9" x14ac:dyDescent="0.35">
      <c r="A342" s="7" t="s">
        <v>394</v>
      </c>
      <c r="B342" s="7" t="s">
        <v>361</v>
      </c>
      <c r="C342" s="7" t="s">
        <v>366</v>
      </c>
      <c r="D342" s="7" t="s">
        <v>33</v>
      </c>
      <c r="E342" s="8">
        <v>1847</v>
      </c>
      <c r="F342" s="8">
        <v>170</v>
      </c>
      <c r="G342" s="9">
        <v>604.28</v>
      </c>
      <c r="H342" s="8">
        <v>45</v>
      </c>
      <c r="I342" s="9">
        <v>885.11</v>
      </c>
    </row>
    <row r="343" spans="1:9" x14ac:dyDescent="0.35">
      <c r="A343" s="7" t="s">
        <v>395</v>
      </c>
      <c r="B343" s="7" t="s">
        <v>361</v>
      </c>
      <c r="C343" s="7" t="s">
        <v>362</v>
      </c>
      <c r="D343" s="7" t="s">
        <v>33</v>
      </c>
      <c r="E343" s="8">
        <v>2490</v>
      </c>
      <c r="F343" s="8">
        <v>177</v>
      </c>
      <c r="G343" s="9">
        <v>553.42999999999995</v>
      </c>
      <c r="H343" s="8">
        <v>35</v>
      </c>
      <c r="I343" s="9">
        <v>734.32</v>
      </c>
    </row>
    <row r="344" spans="1:9" x14ac:dyDescent="0.35">
      <c r="A344" s="7" t="s">
        <v>396</v>
      </c>
      <c r="B344" s="7" t="s">
        <v>361</v>
      </c>
      <c r="C344" s="7" t="s">
        <v>366</v>
      </c>
      <c r="D344" s="7" t="s">
        <v>65</v>
      </c>
      <c r="E344" s="8">
        <v>2222</v>
      </c>
      <c r="F344" s="8">
        <v>161</v>
      </c>
      <c r="G344" s="9">
        <v>523.1</v>
      </c>
      <c r="H344" s="8">
        <v>53</v>
      </c>
      <c r="I344" s="9">
        <v>1145.52</v>
      </c>
    </row>
    <row r="345" spans="1:9" x14ac:dyDescent="0.35">
      <c r="A345" s="7" t="s">
        <v>397</v>
      </c>
      <c r="B345" s="7" t="s">
        <v>361</v>
      </c>
      <c r="C345" s="7" t="s">
        <v>362</v>
      </c>
      <c r="D345" s="7" t="s">
        <v>70</v>
      </c>
      <c r="E345" s="8">
        <v>1829</v>
      </c>
      <c r="F345" s="8">
        <v>172</v>
      </c>
      <c r="G345" s="9">
        <v>500.1</v>
      </c>
      <c r="H345" s="8">
        <v>77</v>
      </c>
      <c r="I345" s="9">
        <v>1771.18</v>
      </c>
    </row>
    <row r="346" spans="1:9" x14ac:dyDescent="0.35">
      <c r="A346" s="7" t="s">
        <v>398</v>
      </c>
      <c r="B346" s="7" t="s">
        <v>361</v>
      </c>
      <c r="C346" s="7" t="s">
        <v>362</v>
      </c>
      <c r="D346" s="7" t="s">
        <v>70</v>
      </c>
      <c r="E346" s="8">
        <v>2557</v>
      </c>
      <c r="F346" s="8">
        <v>170</v>
      </c>
      <c r="G346" s="9">
        <v>499.03</v>
      </c>
      <c r="H346" s="8">
        <v>56</v>
      </c>
      <c r="I346" s="9">
        <v>1195.03</v>
      </c>
    </row>
    <row r="347" spans="1:9" x14ac:dyDescent="0.35">
      <c r="A347" s="7" t="s">
        <v>399</v>
      </c>
      <c r="B347" s="7" t="s">
        <v>361</v>
      </c>
      <c r="C347" s="7" t="s">
        <v>362</v>
      </c>
      <c r="D347" s="7" t="s">
        <v>33</v>
      </c>
      <c r="E347" s="8">
        <v>1948</v>
      </c>
      <c r="F347" s="8">
        <v>149</v>
      </c>
      <c r="G347" s="9">
        <v>483.63</v>
      </c>
      <c r="H347" s="8">
        <v>53</v>
      </c>
      <c r="I347" s="9">
        <v>1121.54</v>
      </c>
    </row>
    <row r="348" spans="1:9" x14ac:dyDescent="0.35">
      <c r="A348" s="7" t="s">
        <v>400</v>
      </c>
      <c r="B348" s="7" t="s">
        <v>361</v>
      </c>
      <c r="C348" s="7" t="s">
        <v>362</v>
      </c>
      <c r="D348" s="7" t="s">
        <v>33</v>
      </c>
      <c r="E348" s="8">
        <v>1600</v>
      </c>
      <c r="F348" s="8">
        <v>123</v>
      </c>
      <c r="G348" s="9">
        <v>422.97</v>
      </c>
      <c r="H348" s="8">
        <v>42</v>
      </c>
      <c r="I348" s="9">
        <v>932.48</v>
      </c>
    </row>
    <row r="349" spans="1:9" x14ac:dyDescent="0.35">
      <c r="A349" s="7" t="s">
        <v>401</v>
      </c>
      <c r="B349" s="7" t="s">
        <v>361</v>
      </c>
      <c r="C349" s="7" t="s">
        <v>366</v>
      </c>
      <c r="D349" s="7" t="s">
        <v>33</v>
      </c>
      <c r="E349" s="8">
        <v>1199</v>
      </c>
      <c r="F349" s="8">
        <v>81</v>
      </c>
      <c r="G349" s="9">
        <v>334.67</v>
      </c>
      <c r="H349" s="8">
        <v>20</v>
      </c>
      <c r="I349" s="9">
        <v>443.67</v>
      </c>
    </row>
    <row r="350" spans="1:9" x14ac:dyDescent="0.35">
      <c r="A350" s="7" t="s">
        <v>402</v>
      </c>
      <c r="B350" s="7" t="s">
        <v>361</v>
      </c>
      <c r="C350" s="7" t="s">
        <v>364</v>
      </c>
      <c r="D350" s="7" t="s">
        <v>33</v>
      </c>
      <c r="E350" s="8">
        <v>718</v>
      </c>
      <c r="F350" s="8">
        <v>78</v>
      </c>
      <c r="G350" s="9">
        <v>304.3</v>
      </c>
      <c r="H350" s="8">
        <v>20</v>
      </c>
      <c r="I350" s="9">
        <v>396.58</v>
      </c>
    </row>
    <row r="351" spans="1:9" x14ac:dyDescent="0.35">
      <c r="A351" s="7" t="s">
        <v>403</v>
      </c>
      <c r="B351" s="7" t="s">
        <v>361</v>
      </c>
      <c r="C351" s="7" t="s">
        <v>368</v>
      </c>
      <c r="D351" s="7" t="s">
        <v>70</v>
      </c>
      <c r="E351" s="8">
        <v>2102</v>
      </c>
      <c r="F351" s="8">
        <v>109</v>
      </c>
      <c r="G351" s="9">
        <v>286.97000000000003</v>
      </c>
      <c r="H351" s="8">
        <v>22</v>
      </c>
      <c r="I351" s="9">
        <v>463.16</v>
      </c>
    </row>
    <row r="352" spans="1:9" x14ac:dyDescent="0.35">
      <c r="A352" s="7" t="s">
        <v>404</v>
      </c>
      <c r="B352" s="7" t="s">
        <v>361</v>
      </c>
      <c r="C352" s="7" t="s">
        <v>364</v>
      </c>
      <c r="D352" s="7" t="s">
        <v>65</v>
      </c>
      <c r="E352" s="8">
        <v>1330</v>
      </c>
      <c r="F352" s="8">
        <v>97</v>
      </c>
      <c r="G352" s="9">
        <v>284.02999999999997</v>
      </c>
      <c r="H352" s="8">
        <v>31</v>
      </c>
      <c r="I352" s="9">
        <v>693.6</v>
      </c>
    </row>
    <row r="353" spans="1:9" x14ac:dyDescent="0.35">
      <c r="A353" s="7" t="s">
        <v>405</v>
      </c>
      <c r="B353" s="7" t="s">
        <v>361</v>
      </c>
      <c r="C353" s="7" t="s">
        <v>362</v>
      </c>
      <c r="D353" s="7" t="s">
        <v>65</v>
      </c>
      <c r="E353" s="8">
        <v>3789</v>
      </c>
      <c r="F353" s="8">
        <v>116</v>
      </c>
      <c r="G353" s="9">
        <v>271.77999999999997</v>
      </c>
      <c r="H353" s="8">
        <v>1</v>
      </c>
      <c r="I353" s="9">
        <v>11.04</v>
      </c>
    </row>
    <row r="354" spans="1:9" x14ac:dyDescent="0.35">
      <c r="A354" s="7" t="s">
        <v>406</v>
      </c>
      <c r="B354" s="7" t="s">
        <v>361</v>
      </c>
      <c r="C354" s="7" t="s">
        <v>362</v>
      </c>
      <c r="D354" s="7" t="s">
        <v>65</v>
      </c>
      <c r="E354" s="8">
        <v>2865</v>
      </c>
      <c r="F354" s="8">
        <v>101</v>
      </c>
      <c r="G354" s="9">
        <v>268.95999999999998</v>
      </c>
      <c r="H354" s="8">
        <v>7</v>
      </c>
      <c r="I354" s="9">
        <v>89.74</v>
      </c>
    </row>
    <row r="355" spans="1:9" x14ac:dyDescent="0.35">
      <c r="A355" s="7" t="s">
        <v>407</v>
      </c>
      <c r="B355" s="7" t="s">
        <v>361</v>
      </c>
      <c r="C355" s="7" t="s">
        <v>362</v>
      </c>
      <c r="D355" s="7" t="s">
        <v>70</v>
      </c>
      <c r="E355" s="8">
        <v>1066</v>
      </c>
      <c r="F355" s="8">
        <v>94</v>
      </c>
      <c r="G355" s="9">
        <v>267.16000000000003</v>
      </c>
      <c r="H355" s="8">
        <v>18</v>
      </c>
      <c r="I355" s="9">
        <v>402.61</v>
      </c>
    </row>
    <row r="356" spans="1:9" x14ac:dyDescent="0.35">
      <c r="A356" s="7" t="s">
        <v>408</v>
      </c>
      <c r="B356" s="7" t="s">
        <v>361</v>
      </c>
      <c r="C356" s="7" t="s">
        <v>366</v>
      </c>
      <c r="D356" s="7" t="s">
        <v>65</v>
      </c>
      <c r="E356" s="8">
        <v>2887</v>
      </c>
      <c r="F356" s="8">
        <v>117</v>
      </c>
      <c r="G356" s="9">
        <v>260.08999999999997</v>
      </c>
      <c r="H356" s="8">
        <v>2</v>
      </c>
      <c r="I356" s="9">
        <v>29.13</v>
      </c>
    </row>
    <row r="357" spans="1:9" x14ac:dyDescent="0.35">
      <c r="A357" s="7" t="s">
        <v>409</v>
      </c>
      <c r="B357" s="7" t="s">
        <v>361</v>
      </c>
      <c r="C357" s="7" t="s">
        <v>362</v>
      </c>
      <c r="D357" s="7" t="s">
        <v>70</v>
      </c>
      <c r="E357" s="8">
        <v>1173</v>
      </c>
      <c r="F357" s="8">
        <v>95</v>
      </c>
      <c r="G357" s="9">
        <v>252.05</v>
      </c>
      <c r="H357" s="8">
        <v>37</v>
      </c>
      <c r="I357" s="9">
        <v>743</v>
      </c>
    </row>
    <row r="358" spans="1:9" x14ac:dyDescent="0.35">
      <c r="A358" s="7" t="s">
        <v>410</v>
      </c>
      <c r="B358" s="7" t="s">
        <v>361</v>
      </c>
      <c r="C358" s="7" t="s">
        <v>366</v>
      </c>
      <c r="D358" s="7" t="s">
        <v>70</v>
      </c>
      <c r="E358" s="8">
        <v>971</v>
      </c>
      <c r="F358" s="8">
        <v>76</v>
      </c>
      <c r="G358" s="9">
        <v>246.03</v>
      </c>
      <c r="H358" s="8">
        <v>26</v>
      </c>
      <c r="I358" s="9">
        <v>486.51</v>
      </c>
    </row>
    <row r="359" spans="1:9" x14ac:dyDescent="0.35">
      <c r="A359" s="7" t="s">
        <v>411</v>
      </c>
      <c r="B359" s="7" t="s">
        <v>361</v>
      </c>
      <c r="C359" s="7" t="s">
        <v>362</v>
      </c>
      <c r="D359" s="7" t="s">
        <v>65</v>
      </c>
      <c r="E359" s="8">
        <v>2405</v>
      </c>
      <c r="F359" s="8">
        <v>120</v>
      </c>
      <c r="G359" s="9">
        <v>242.12</v>
      </c>
      <c r="H359" s="8">
        <v>2</v>
      </c>
      <c r="I359" s="9">
        <v>21.98</v>
      </c>
    </row>
    <row r="360" spans="1:9" x14ac:dyDescent="0.35">
      <c r="A360" s="7" t="s">
        <v>412</v>
      </c>
      <c r="B360" s="7" t="s">
        <v>361</v>
      </c>
      <c r="C360" s="7" t="s">
        <v>362</v>
      </c>
      <c r="D360" s="7" t="s">
        <v>70</v>
      </c>
      <c r="E360" s="8">
        <v>1167</v>
      </c>
      <c r="F360" s="8">
        <v>82</v>
      </c>
      <c r="G360" s="9">
        <v>241.88</v>
      </c>
      <c r="H360" s="8">
        <v>34</v>
      </c>
      <c r="I360" s="9">
        <v>828.98</v>
      </c>
    </row>
    <row r="361" spans="1:9" x14ac:dyDescent="0.35">
      <c r="A361" s="7" t="s">
        <v>413</v>
      </c>
      <c r="B361" s="7" t="s">
        <v>361</v>
      </c>
      <c r="C361" s="7" t="s">
        <v>362</v>
      </c>
      <c r="D361" s="7" t="s">
        <v>70</v>
      </c>
      <c r="E361" s="8">
        <v>2023</v>
      </c>
      <c r="F361" s="8">
        <v>100</v>
      </c>
      <c r="G361" s="9">
        <v>238.74</v>
      </c>
      <c r="H361" s="8">
        <v>2</v>
      </c>
      <c r="I361" s="9">
        <v>25.21</v>
      </c>
    </row>
    <row r="362" spans="1:9" x14ac:dyDescent="0.35">
      <c r="A362" s="7" t="s">
        <v>414</v>
      </c>
      <c r="B362" s="7" t="s">
        <v>361</v>
      </c>
      <c r="C362" s="7" t="s">
        <v>366</v>
      </c>
      <c r="D362" s="7" t="s">
        <v>70</v>
      </c>
      <c r="E362" s="8">
        <v>1054</v>
      </c>
      <c r="F362" s="8">
        <v>85</v>
      </c>
      <c r="G362" s="9">
        <v>232.67</v>
      </c>
      <c r="H362" s="8">
        <v>32</v>
      </c>
      <c r="I362" s="9">
        <v>749.87</v>
      </c>
    </row>
    <row r="363" spans="1:9" x14ac:dyDescent="0.35">
      <c r="A363" s="7" t="s">
        <v>415</v>
      </c>
      <c r="B363" s="7" t="s">
        <v>361</v>
      </c>
      <c r="C363" s="7" t="s">
        <v>364</v>
      </c>
      <c r="D363" s="7" t="s">
        <v>70</v>
      </c>
      <c r="E363" s="8">
        <v>3121</v>
      </c>
      <c r="F363" s="8">
        <v>85</v>
      </c>
      <c r="G363" s="9">
        <v>226.43</v>
      </c>
      <c r="H363" s="8">
        <v>2</v>
      </c>
      <c r="I363" s="9">
        <v>22.25</v>
      </c>
    </row>
    <row r="364" spans="1:9" x14ac:dyDescent="0.35">
      <c r="A364" s="7" t="s">
        <v>416</v>
      </c>
      <c r="B364" s="7" t="s">
        <v>361</v>
      </c>
      <c r="C364" s="7" t="s">
        <v>362</v>
      </c>
      <c r="D364" s="7" t="s">
        <v>33</v>
      </c>
      <c r="E364" s="8">
        <v>751</v>
      </c>
      <c r="F364" s="8">
        <v>65</v>
      </c>
      <c r="G364" s="9">
        <v>221.06</v>
      </c>
      <c r="H364" s="8">
        <v>19</v>
      </c>
      <c r="I364" s="9">
        <v>387.54</v>
      </c>
    </row>
    <row r="365" spans="1:9" x14ac:dyDescent="0.35">
      <c r="A365" s="7" t="s">
        <v>417</v>
      </c>
      <c r="B365" s="7" t="s">
        <v>361</v>
      </c>
      <c r="C365" s="7" t="s">
        <v>362</v>
      </c>
      <c r="D365" s="7" t="s">
        <v>65</v>
      </c>
      <c r="E365" s="8">
        <v>1970</v>
      </c>
      <c r="F365" s="8">
        <v>76</v>
      </c>
      <c r="G365" s="9">
        <v>208.46</v>
      </c>
      <c r="H365" s="8">
        <v>1</v>
      </c>
      <c r="I365" s="9">
        <v>12.3</v>
      </c>
    </row>
    <row r="366" spans="1:9" x14ac:dyDescent="0.35">
      <c r="A366" s="7" t="s">
        <v>418</v>
      </c>
      <c r="B366" s="7" t="s">
        <v>361</v>
      </c>
      <c r="C366" s="7" t="s">
        <v>366</v>
      </c>
      <c r="D366" s="7" t="s">
        <v>65</v>
      </c>
      <c r="E366" s="8">
        <v>2819</v>
      </c>
      <c r="F366" s="8">
        <v>81</v>
      </c>
      <c r="G366" s="9">
        <v>205.74</v>
      </c>
      <c r="H366" s="8">
        <v>2</v>
      </c>
      <c r="I366" s="9">
        <v>22.42</v>
      </c>
    </row>
    <row r="367" spans="1:9" x14ac:dyDescent="0.35">
      <c r="A367" s="7" t="s">
        <v>419</v>
      </c>
      <c r="B367" s="7" t="s">
        <v>361</v>
      </c>
      <c r="C367" s="7" t="s">
        <v>366</v>
      </c>
      <c r="D367" s="7" t="s">
        <v>70</v>
      </c>
      <c r="E367" s="8">
        <v>1052</v>
      </c>
      <c r="F367" s="8">
        <v>62</v>
      </c>
      <c r="G367" s="9">
        <v>203.94</v>
      </c>
      <c r="H367" s="8">
        <v>21</v>
      </c>
      <c r="I367" s="9">
        <v>478.72</v>
      </c>
    </row>
    <row r="368" spans="1:9" x14ac:dyDescent="0.35">
      <c r="A368" s="7" t="s">
        <v>420</v>
      </c>
      <c r="B368" s="7" t="s">
        <v>361</v>
      </c>
      <c r="C368" s="7" t="s">
        <v>362</v>
      </c>
      <c r="D368" s="7" t="s">
        <v>33</v>
      </c>
      <c r="E368" s="8">
        <v>767</v>
      </c>
      <c r="F368" s="8">
        <v>59</v>
      </c>
      <c r="G368" s="9">
        <v>203.58</v>
      </c>
      <c r="H368" s="8">
        <v>14</v>
      </c>
      <c r="I368" s="9">
        <v>274.79000000000002</v>
      </c>
    </row>
    <row r="369" spans="1:9" x14ac:dyDescent="0.35">
      <c r="A369" s="7" t="s">
        <v>421</v>
      </c>
      <c r="B369" s="7" t="s">
        <v>361</v>
      </c>
      <c r="C369" s="7" t="s">
        <v>366</v>
      </c>
      <c r="D369" s="7" t="s">
        <v>65</v>
      </c>
      <c r="E369" s="8">
        <v>2509</v>
      </c>
      <c r="F369" s="8">
        <v>79</v>
      </c>
      <c r="G369" s="9">
        <v>190.73</v>
      </c>
      <c r="H369" s="8">
        <v>2</v>
      </c>
      <c r="I369" s="9">
        <v>20.55</v>
      </c>
    </row>
    <row r="370" spans="1:9" x14ac:dyDescent="0.35">
      <c r="A370" s="7" t="s">
        <v>422</v>
      </c>
      <c r="B370" s="7" t="s">
        <v>361</v>
      </c>
      <c r="C370" s="7" t="s">
        <v>362</v>
      </c>
      <c r="D370" s="7" t="s">
        <v>70</v>
      </c>
      <c r="E370" s="8">
        <v>1309</v>
      </c>
      <c r="F370" s="8">
        <v>93</v>
      </c>
      <c r="G370" s="9">
        <v>185.06</v>
      </c>
      <c r="H370" s="8">
        <v>3</v>
      </c>
      <c r="I370" s="9">
        <v>27.43</v>
      </c>
    </row>
    <row r="371" spans="1:9" x14ac:dyDescent="0.35">
      <c r="A371" s="7" t="s">
        <v>423</v>
      </c>
      <c r="B371" s="7" t="s">
        <v>361</v>
      </c>
      <c r="C371" s="7" t="s">
        <v>362</v>
      </c>
      <c r="D371" s="7" t="s">
        <v>33</v>
      </c>
      <c r="E371" s="8">
        <v>602</v>
      </c>
      <c r="F371" s="8">
        <v>44</v>
      </c>
      <c r="G371" s="9">
        <v>182.8</v>
      </c>
      <c r="H371" s="8">
        <v>12</v>
      </c>
      <c r="I371" s="9">
        <v>268.43</v>
      </c>
    </row>
    <row r="372" spans="1:9" x14ac:dyDescent="0.35">
      <c r="A372" s="7" t="s">
        <v>424</v>
      </c>
      <c r="B372" s="7" t="s">
        <v>361</v>
      </c>
      <c r="C372" s="7" t="s">
        <v>362</v>
      </c>
      <c r="D372" s="7" t="s">
        <v>65</v>
      </c>
      <c r="E372" s="8">
        <v>2350</v>
      </c>
      <c r="F372" s="8">
        <v>89</v>
      </c>
      <c r="G372" s="9">
        <v>179.27</v>
      </c>
      <c r="H372" s="8">
        <v>2</v>
      </c>
      <c r="I372" s="9">
        <v>31.41</v>
      </c>
    </row>
    <row r="373" spans="1:9" x14ac:dyDescent="0.35">
      <c r="A373" s="7" t="s">
        <v>425</v>
      </c>
      <c r="B373" s="7" t="s">
        <v>361</v>
      </c>
      <c r="C373" s="7" t="s">
        <v>362</v>
      </c>
      <c r="D373" s="7" t="s">
        <v>33</v>
      </c>
      <c r="E373" s="8">
        <v>1585</v>
      </c>
      <c r="F373" s="8">
        <v>108</v>
      </c>
      <c r="G373" s="9">
        <v>179.17</v>
      </c>
      <c r="H373" s="8">
        <v>2</v>
      </c>
      <c r="I373" s="9">
        <v>20.83</v>
      </c>
    </row>
    <row r="374" spans="1:9" x14ac:dyDescent="0.35">
      <c r="A374" s="7" t="s">
        <v>426</v>
      </c>
      <c r="B374" s="7" t="s">
        <v>361</v>
      </c>
      <c r="C374" s="7" t="s">
        <v>366</v>
      </c>
      <c r="D374" s="7" t="s">
        <v>70</v>
      </c>
      <c r="E374" s="8">
        <v>931</v>
      </c>
      <c r="F374" s="8">
        <v>56</v>
      </c>
      <c r="G374" s="9">
        <v>177.62</v>
      </c>
      <c r="H374" s="8">
        <v>15</v>
      </c>
      <c r="I374" s="9">
        <v>326.74</v>
      </c>
    </row>
    <row r="375" spans="1:9" x14ac:dyDescent="0.35">
      <c r="A375" s="7" t="s">
        <v>427</v>
      </c>
      <c r="B375" s="7" t="s">
        <v>361</v>
      </c>
      <c r="C375" s="7" t="s">
        <v>362</v>
      </c>
      <c r="D375" s="7" t="s">
        <v>65</v>
      </c>
      <c r="E375" s="8">
        <v>1582</v>
      </c>
      <c r="F375" s="8">
        <v>101</v>
      </c>
      <c r="G375" s="9">
        <v>176.09</v>
      </c>
      <c r="H375" s="8">
        <v>0</v>
      </c>
      <c r="I375" s="9">
        <v>0</v>
      </c>
    </row>
    <row r="376" spans="1:9" x14ac:dyDescent="0.35">
      <c r="A376" s="7" t="s">
        <v>428</v>
      </c>
      <c r="B376" s="7" t="s">
        <v>361</v>
      </c>
      <c r="C376" s="7" t="s">
        <v>362</v>
      </c>
      <c r="D376" s="7" t="s">
        <v>65</v>
      </c>
      <c r="E376" s="8">
        <v>2868</v>
      </c>
      <c r="F376" s="8">
        <v>80</v>
      </c>
      <c r="G376" s="9">
        <v>174.47</v>
      </c>
      <c r="H376" s="8">
        <v>0</v>
      </c>
      <c r="I376" s="9">
        <v>0</v>
      </c>
    </row>
    <row r="377" spans="1:9" x14ac:dyDescent="0.35">
      <c r="A377" s="7" t="s">
        <v>429</v>
      </c>
      <c r="B377" s="7" t="s">
        <v>361</v>
      </c>
      <c r="C377" s="7" t="s">
        <v>364</v>
      </c>
      <c r="D377" s="7" t="s">
        <v>65</v>
      </c>
      <c r="E377" s="8">
        <v>2125</v>
      </c>
      <c r="F377" s="8">
        <v>71</v>
      </c>
      <c r="G377" s="9">
        <v>159.15</v>
      </c>
      <c r="H377" s="8">
        <v>1</v>
      </c>
      <c r="I377" s="9">
        <v>13.33</v>
      </c>
    </row>
    <row r="378" spans="1:9" x14ac:dyDescent="0.35">
      <c r="A378" s="7" t="s">
        <v>430</v>
      </c>
      <c r="B378" s="7" t="s">
        <v>361</v>
      </c>
      <c r="C378" s="7" t="s">
        <v>364</v>
      </c>
      <c r="D378" s="7" t="s">
        <v>65</v>
      </c>
      <c r="E378" s="8">
        <v>1557</v>
      </c>
      <c r="F378" s="8">
        <v>61</v>
      </c>
      <c r="G378" s="9">
        <v>153.44999999999999</v>
      </c>
      <c r="H378" s="8">
        <v>3</v>
      </c>
      <c r="I378" s="9">
        <v>36.5</v>
      </c>
    </row>
    <row r="379" spans="1:9" x14ac:dyDescent="0.35">
      <c r="A379" s="7" t="s">
        <v>431</v>
      </c>
      <c r="B379" s="7" t="s">
        <v>361</v>
      </c>
      <c r="C379" s="7" t="s">
        <v>362</v>
      </c>
      <c r="D379" s="7" t="s">
        <v>70</v>
      </c>
      <c r="E379" s="8">
        <v>1460</v>
      </c>
      <c r="F379" s="8">
        <v>58</v>
      </c>
      <c r="G379" s="9">
        <v>147.78</v>
      </c>
      <c r="H379" s="8">
        <v>3</v>
      </c>
      <c r="I379" s="9">
        <v>35.549999999999997</v>
      </c>
    </row>
    <row r="380" spans="1:9" x14ac:dyDescent="0.35">
      <c r="A380" s="7" t="s">
        <v>432</v>
      </c>
      <c r="B380" s="7" t="s">
        <v>361</v>
      </c>
      <c r="C380" s="7" t="s">
        <v>366</v>
      </c>
      <c r="D380" s="7" t="s">
        <v>70</v>
      </c>
      <c r="E380" s="8">
        <v>1315</v>
      </c>
      <c r="F380" s="8">
        <v>53</v>
      </c>
      <c r="G380" s="9">
        <v>147.22999999999999</v>
      </c>
      <c r="H380" s="8">
        <v>1</v>
      </c>
      <c r="I380" s="9">
        <v>12.34</v>
      </c>
    </row>
    <row r="381" spans="1:9" x14ac:dyDescent="0.35">
      <c r="A381" s="7" t="s">
        <v>433</v>
      </c>
      <c r="B381" s="7" t="s">
        <v>361</v>
      </c>
      <c r="C381" s="7" t="s">
        <v>362</v>
      </c>
      <c r="D381" s="7" t="s">
        <v>33</v>
      </c>
      <c r="E381" s="8">
        <v>1296</v>
      </c>
      <c r="F381" s="8">
        <v>67</v>
      </c>
      <c r="G381" s="9">
        <v>138.84</v>
      </c>
      <c r="H381" s="8">
        <v>0</v>
      </c>
      <c r="I381" s="9">
        <v>0</v>
      </c>
    </row>
    <row r="382" spans="1:9" x14ac:dyDescent="0.35">
      <c r="A382" s="7" t="s">
        <v>434</v>
      </c>
      <c r="B382" s="7" t="s">
        <v>361</v>
      </c>
      <c r="C382" s="7" t="s">
        <v>362</v>
      </c>
      <c r="D382" s="7" t="s">
        <v>65</v>
      </c>
      <c r="E382" s="8">
        <v>1376</v>
      </c>
      <c r="F382" s="8">
        <v>70</v>
      </c>
      <c r="G382" s="9">
        <v>138.4</v>
      </c>
      <c r="H382" s="8">
        <v>4</v>
      </c>
      <c r="I382" s="9">
        <v>36.82</v>
      </c>
    </row>
    <row r="383" spans="1:9" x14ac:dyDescent="0.35">
      <c r="A383" s="7" t="s">
        <v>435</v>
      </c>
      <c r="B383" s="7" t="s">
        <v>361</v>
      </c>
      <c r="C383" s="7" t="s">
        <v>362</v>
      </c>
      <c r="D383" s="7" t="s">
        <v>65</v>
      </c>
      <c r="E383" s="8">
        <v>1406</v>
      </c>
      <c r="F383" s="8">
        <v>63</v>
      </c>
      <c r="G383" s="9">
        <v>137.72</v>
      </c>
      <c r="H383" s="8">
        <v>2</v>
      </c>
      <c r="I383" s="9">
        <v>25.53</v>
      </c>
    </row>
    <row r="384" spans="1:9" x14ac:dyDescent="0.35">
      <c r="A384" s="7" t="s">
        <v>436</v>
      </c>
      <c r="B384" s="7" t="s">
        <v>361</v>
      </c>
      <c r="C384" s="7" t="s">
        <v>362</v>
      </c>
      <c r="D384" s="7" t="s">
        <v>65</v>
      </c>
      <c r="E384" s="8">
        <v>983</v>
      </c>
      <c r="F384" s="8">
        <v>53</v>
      </c>
      <c r="G384" s="9">
        <v>128.22</v>
      </c>
      <c r="H384" s="8">
        <v>1</v>
      </c>
      <c r="I384" s="9">
        <v>13.19</v>
      </c>
    </row>
    <row r="385" spans="1:9" x14ac:dyDescent="0.35">
      <c r="A385" s="7" t="s">
        <v>437</v>
      </c>
      <c r="B385" s="7" t="s">
        <v>361</v>
      </c>
      <c r="C385" s="7" t="s">
        <v>364</v>
      </c>
      <c r="D385" s="7" t="s">
        <v>70</v>
      </c>
      <c r="E385" s="8">
        <v>543</v>
      </c>
      <c r="F385" s="8">
        <v>40</v>
      </c>
      <c r="G385" s="9">
        <v>127.71</v>
      </c>
      <c r="H385" s="8">
        <v>15</v>
      </c>
      <c r="I385" s="9">
        <v>391.44</v>
      </c>
    </row>
    <row r="386" spans="1:9" x14ac:dyDescent="0.35">
      <c r="A386" s="7" t="s">
        <v>438</v>
      </c>
      <c r="B386" s="7" t="s">
        <v>361</v>
      </c>
      <c r="C386" s="7" t="s">
        <v>362</v>
      </c>
      <c r="D386" s="7" t="s">
        <v>65</v>
      </c>
      <c r="E386" s="8">
        <v>1299</v>
      </c>
      <c r="F386" s="8">
        <v>46</v>
      </c>
      <c r="G386" s="9">
        <v>126.44</v>
      </c>
      <c r="H386" s="8">
        <v>1</v>
      </c>
      <c r="I386" s="9">
        <v>15.41</v>
      </c>
    </row>
    <row r="387" spans="1:9" x14ac:dyDescent="0.35">
      <c r="A387" s="7" t="s">
        <v>439</v>
      </c>
      <c r="B387" s="7" t="s">
        <v>361</v>
      </c>
      <c r="C387" s="7" t="s">
        <v>362</v>
      </c>
      <c r="D387" s="7" t="s">
        <v>65</v>
      </c>
      <c r="E387" s="8">
        <v>1574</v>
      </c>
      <c r="F387" s="8">
        <v>46</v>
      </c>
      <c r="G387" s="9">
        <v>124.06</v>
      </c>
      <c r="H387" s="8">
        <v>0</v>
      </c>
      <c r="I387" s="9">
        <v>0</v>
      </c>
    </row>
    <row r="388" spans="1:9" x14ac:dyDescent="0.35">
      <c r="A388" s="7" t="s">
        <v>440</v>
      </c>
      <c r="B388" s="7" t="s">
        <v>361</v>
      </c>
      <c r="C388" s="7" t="s">
        <v>362</v>
      </c>
      <c r="D388" s="7" t="s">
        <v>65</v>
      </c>
      <c r="E388" s="8">
        <v>1121</v>
      </c>
      <c r="F388" s="8">
        <v>59</v>
      </c>
      <c r="G388" s="9">
        <v>123.98</v>
      </c>
      <c r="H388" s="8">
        <v>0</v>
      </c>
      <c r="I388" s="9">
        <v>0</v>
      </c>
    </row>
    <row r="389" spans="1:9" x14ac:dyDescent="0.35">
      <c r="A389" s="7" t="s">
        <v>441</v>
      </c>
      <c r="B389" s="7" t="s">
        <v>361</v>
      </c>
      <c r="C389" s="7" t="s">
        <v>362</v>
      </c>
      <c r="D389" s="7" t="s">
        <v>70</v>
      </c>
      <c r="E389" s="8">
        <v>1291</v>
      </c>
      <c r="F389" s="8">
        <v>44</v>
      </c>
      <c r="G389" s="9">
        <v>111.98</v>
      </c>
      <c r="H389" s="8">
        <v>1</v>
      </c>
      <c r="I389" s="9">
        <v>11.66</v>
      </c>
    </row>
    <row r="390" spans="1:9" x14ac:dyDescent="0.35">
      <c r="A390" s="7" t="s">
        <v>442</v>
      </c>
      <c r="B390" s="7" t="s">
        <v>361</v>
      </c>
      <c r="C390" s="7" t="s">
        <v>362</v>
      </c>
      <c r="D390" s="7" t="s">
        <v>65</v>
      </c>
      <c r="E390" s="8">
        <v>1232</v>
      </c>
      <c r="F390" s="8">
        <v>45</v>
      </c>
      <c r="G390" s="9">
        <v>110.9</v>
      </c>
      <c r="H390" s="8">
        <v>0</v>
      </c>
      <c r="I390" s="9">
        <v>0</v>
      </c>
    </row>
    <row r="391" spans="1:9" x14ac:dyDescent="0.35">
      <c r="A391" s="7" t="s">
        <v>443</v>
      </c>
      <c r="B391" s="7" t="s">
        <v>361</v>
      </c>
      <c r="C391" s="7" t="s">
        <v>366</v>
      </c>
      <c r="D391" s="7" t="s">
        <v>65</v>
      </c>
      <c r="E391" s="8">
        <v>1074</v>
      </c>
      <c r="F391" s="8">
        <v>48</v>
      </c>
      <c r="G391" s="9">
        <v>100.26</v>
      </c>
      <c r="H391" s="8">
        <v>0</v>
      </c>
      <c r="I391" s="9">
        <v>0</v>
      </c>
    </row>
    <row r="392" spans="1:9" x14ac:dyDescent="0.35">
      <c r="A392" s="7" t="s">
        <v>444</v>
      </c>
      <c r="B392" s="7" t="s">
        <v>361</v>
      </c>
      <c r="C392" s="7" t="s">
        <v>362</v>
      </c>
      <c r="D392" s="7" t="s">
        <v>65</v>
      </c>
      <c r="E392" s="8">
        <v>647</v>
      </c>
      <c r="F392" s="8">
        <v>49</v>
      </c>
      <c r="G392" s="9">
        <v>99.63</v>
      </c>
      <c r="H392" s="8">
        <v>0</v>
      </c>
      <c r="I392" s="9">
        <v>0</v>
      </c>
    </row>
    <row r="393" spans="1:9" x14ac:dyDescent="0.35">
      <c r="A393" s="7" t="s">
        <v>445</v>
      </c>
      <c r="B393" s="7" t="s">
        <v>361</v>
      </c>
      <c r="C393" s="7" t="s">
        <v>368</v>
      </c>
      <c r="D393" s="7" t="s">
        <v>65</v>
      </c>
      <c r="E393" s="8">
        <v>744</v>
      </c>
      <c r="F393" s="8">
        <v>33</v>
      </c>
      <c r="G393" s="9">
        <v>91.53</v>
      </c>
      <c r="H393" s="8">
        <v>7</v>
      </c>
      <c r="I393" s="9">
        <v>129.25</v>
      </c>
    </row>
    <row r="394" spans="1:9" x14ac:dyDescent="0.35">
      <c r="A394" s="7" t="s">
        <v>446</v>
      </c>
      <c r="B394" s="7" t="s">
        <v>361</v>
      </c>
      <c r="C394" s="7" t="s">
        <v>362</v>
      </c>
      <c r="D394" s="7" t="s">
        <v>65</v>
      </c>
      <c r="E394" s="8">
        <v>942</v>
      </c>
      <c r="F394" s="8">
        <v>29</v>
      </c>
      <c r="G394" s="9">
        <v>86.56</v>
      </c>
      <c r="H394" s="8">
        <v>2</v>
      </c>
      <c r="I394" s="9">
        <v>25.21</v>
      </c>
    </row>
    <row r="395" spans="1:9" x14ac:dyDescent="0.35">
      <c r="A395" s="7" t="s">
        <v>447</v>
      </c>
      <c r="B395" s="7" t="s">
        <v>361</v>
      </c>
      <c r="C395" s="7" t="s">
        <v>362</v>
      </c>
      <c r="D395" s="7" t="s">
        <v>70</v>
      </c>
      <c r="E395" s="8">
        <v>869</v>
      </c>
      <c r="F395" s="8">
        <v>28</v>
      </c>
      <c r="G395" s="9">
        <v>77.349999999999994</v>
      </c>
      <c r="H395" s="8">
        <v>1</v>
      </c>
      <c r="I395" s="9">
        <v>11.64</v>
      </c>
    </row>
    <row r="396" spans="1:9" x14ac:dyDescent="0.35">
      <c r="A396" s="7" t="s">
        <v>448</v>
      </c>
      <c r="B396" s="7" t="s">
        <v>361</v>
      </c>
      <c r="C396" s="7" t="s">
        <v>362</v>
      </c>
      <c r="D396" s="7" t="s">
        <v>65</v>
      </c>
      <c r="E396" s="8">
        <v>1144</v>
      </c>
      <c r="F396" s="8">
        <v>32</v>
      </c>
      <c r="G396" s="9">
        <v>74.62</v>
      </c>
      <c r="H396" s="8">
        <v>0</v>
      </c>
      <c r="I396" s="9">
        <v>0</v>
      </c>
    </row>
    <row r="397" spans="1:9" x14ac:dyDescent="0.35">
      <c r="A397" s="7" t="s">
        <v>449</v>
      </c>
      <c r="B397" s="7" t="s">
        <v>361</v>
      </c>
      <c r="C397" s="7" t="s">
        <v>362</v>
      </c>
      <c r="D397" s="7" t="s">
        <v>36</v>
      </c>
      <c r="E397" s="8">
        <v>383</v>
      </c>
      <c r="F397" s="8">
        <v>26</v>
      </c>
      <c r="G397" s="9">
        <v>74.02</v>
      </c>
      <c r="H397" s="8">
        <v>13</v>
      </c>
      <c r="I397" s="9">
        <v>270.37</v>
      </c>
    </row>
    <row r="398" spans="1:9" x14ac:dyDescent="0.35">
      <c r="A398" s="7" t="s">
        <v>450</v>
      </c>
      <c r="B398" s="7" t="s">
        <v>361</v>
      </c>
      <c r="C398" s="7" t="s">
        <v>368</v>
      </c>
      <c r="D398" s="7" t="s">
        <v>65</v>
      </c>
      <c r="E398" s="8">
        <v>816</v>
      </c>
      <c r="F398" s="8">
        <v>24</v>
      </c>
      <c r="G398" s="9">
        <v>63.48</v>
      </c>
      <c r="H398" s="8">
        <v>4</v>
      </c>
      <c r="I398" s="9">
        <v>73.47</v>
      </c>
    </row>
    <row r="399" spans="1:9" x14ac:dyDescent="0.35">
      <c r="A399" s="7" t="s">
        <v>451</v>
      </c>
      <c r="B399" s="7" t="s">
        <v>361</v>
      </c>
      <c r="C399" s="7" t="s">
        <v>366</v>
      </c>
      <c r="D399" s="7" t="s">
        <v>65</v>
      </c>
      <c r="E399" s="8">
        <v>1269</v>
      </c>
      <c r="F399" s="8">
        <v>25</v>
      </c>
      <c r="G399" s="9">
        <v>61.96</v>
      </c>
      <c r="H399" s="8">
        <v>0</v>
      </c>
      <c r="I399" s="9">
        <v>0</v>
      </c>
    </row>
    <row r="400" spans="1:9" x14ac:dyDescent="0.35">
      <c r="A400" s="7" t="s">
        <v>452</v>
      </c>
      <c r="B400" s="7" t="s">
        <v>361</v>
      </c>
      <c r="C400" s="7" t="s">
        <v>362</v>
      </c>
      <c r="D400" s="7" t="s">
        <v>65</v>
      </c>
      <c r="E400" s="8">
        <v>695</v>
      </c>
      <c r="F400" s="8">
        <v>33</v>
      </c>
      <c r="G400" s="9">
        <v>60.54</v>
      </c>
      <c r="H400" s="8">
        <v>0</v>
      </c>
      <c r="I400" s="9">
        <v>0</v>
      </c>
    </row>
    <row r="401" spans="1:9" x14ac:dyDescent="0.35">
      <c r="A401" s="7" t="s">
        <v>453</v>
      </c>
      <c r="B401" s="7" t="s">
        <v>361</v>
      </c>
      <c r="C401" s="7" t="s">
        <v>362</v>
      </c>
      <c r="D401" s="7" t="s">
        <v>65</v>
      </c>
      <c r="E401" s="8">
        <v>759</v>
      </c>
      <c r="F401" s="8">
        <v>26</v>
      </c>
      <c r="G401" s="9">
        <v>60.43</v>
      </c>
      <c r="H401" s="8">
        <v>0</v>
      </c>
      <c r="I401" s="9">
        <v>0</v>
      </c>
    </row>
    <row r="402" spans="1:9" x14ac:dyDescent="0.35">
      <c r="A402" s="7" t="s">
        <v>454</v>
      </c>
      <c r="B402" s="7" t="s">
        <v>361</v>
      </c>
      <c r="C402" s="7" t="s">
        <v>368</v>
      </c>
      <c r="D402" s="7" t="s">
        <v>65</v>
      </c>
      <c r="E402" s="8">
        <v>755</v>
      </c>
      <c r="F402" s="8">
        <v>26</v>
      </c>
      <c r="G402" s="9">
        <v>56.95</v>
      </c>
      <c r="H402" s="8">
        <v>1</v>
      </c>
      <c r="I402" s="9">
        <v>15.28</v>
      </c>
    </row>
    <row r="403" spans="1:9" x14ac:dyDescent="0.35">
      <c r="A403" s="7" t="s">
        <v>455</v>
      </c>
      <c r="B403" s="7" t="s">
        <v>361</v>
      </c>
      <c r="C403" s="7" t="s">
        <v>366</v>
      </c>
      <c r="D403" s="7" t="s">
        <v>65</v>
      </c>
      <c r="E403" s="8">
        <v>688</v>
      </c>
      <c r="F403" s="8">
        <v>16</v>
      </c>
      <c r="G403" s="9">
        <v>41.46</v>
      </c>
      <c r="H403" s="8">
        <v>1</v>
      </c>
      <c r="I403" s="9">
        <v>13.4</v>
      </c>
    </row>
    <row r="404" spans="1:9" x14ac:dyDescent="0.35">
      <c r="A404" s="7" t="s">
        <v>456</v>
      </c>
      <c r="B404" s="7" t="s">
        <v>361</v>
      </c>
      <c r="C404" s="7" t="s">
        <v>362</v>
      </c>
      <c r="D404" s="7" t="s">
        <v>65</v>
      </c>
      <c r="E404" s="8">
        <v>652</v>
      </c>
      <c r="F404" s="8">
        <v>13</v>
      </c>
      <c r="G404" s="9">
        <v>26.8</v>
      </c>
      <c r="H404" s="8">
        <v>0</v>
      </c>
      <c r="I404" s="9">
        <v>0</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5E3B"/>
  </sheetPr>
  <dimension ref="A1:F25"/>
  <sheetViews>
    <sheetView showGridLines="0" zoomScaleNormal="100" workbookViewId="0"/>
  </sheetViews>
  <sheetFormatPr defaultColWidth="8.6328125" defaultRowHeight="14.5" x14ac:dyDescent="0.35"/>
  <cols>
    <col min="1" max="1" width="26" customWidth="1"/>
    <col min="2" max="2" width="20" customWidth="1"/>
    <col min="3" max="4" width="30" customWidth="1"/>
    <col min="5" max="5" width="22" customWidth="1"/>
    <col min="6" max="6" width="16" customWidth="1"/>
  </cols>
  <sheetData>
    <row r="1" spans="1:6" ht="20" x14ac:dyDescent="0.4">
      <c r="A1" s="3" t="s">
        <v>457</v>
      </c>
    </row>
    <row r="2" spans="1:6" ht="57.75" customHeight="1" x14ac:dyDescent="0.35">
      <c r="A2" s="14" t="s">
        <v>458</v>
      </c>
      <c r="B2" s="14"/>
      <c r="C2" s="14"/>
      <c r="D2" s="14"/>
      <c r="E2" s="14"/>
      <c r="F2" s="14"/>
    </row>
    <row r="3" spans="1:6" x14ac:dyDescent="0.35">
      <c r="A3" s="10" t="s">
        <v>459</v>
      </c>
      <c r="B3" s="15" t="s">
        <v>232</v>
      </c>
      <c r="C3" s="15"/>
      <c r="D3" s="15"/>
    </row>
    <row r="4" spans="1:6" ht="42" customHeight="1" x14ac:dyDescent="0.35">
      <c r="A4" s="6" t="s">
        <v>460</v>
      </c>
      <c r="B4" s="6" t="s">
        <v>461</v>
      </c>
      <c r="C4" s="6" t="s">
        <v>462</v>
      </c>
      <c r="D4" s="6" t="s">
        <v>463</v>
      </c>
      <c r="E4" s="6" t="s">
        <v>464</v>
      </c>
      <c r="F4" s="6" t="s">
        <v>465</v>
      </c>
    </row>
    <row r="5" spans="1:6" x14ac:dyDescent="0.35">
      <c r="A5" s="1" t="s">
        <v>466</v>
      </c>
      <c r="B5" s="1" t="s">
        <v>467</v>
      </c>
      <c r="C5" s="1" t="s">
        <v>468</v>
      </c>
      <c r="D5" s="1" t="s">
        <v>469</v>
      </c>
      <c r="E5" s="11">
        <f>IF(A5="","",SUMPRODUCT(ISNUMBER(SEARCH(" "&amp;TRIM(A5)&amp;" "," "&amp;'Search terms'!$A$2:$A$404&amp;" "))*('Search terms'!$B$2:$B$404=$B$3)*'Search terms'!$G$2:$G$404))</f>
        <v>2433.1999999999998</v>
      </c>
      <c r="F5" s="1" t="s">
        <v>470</v>
      </c>
    </row>
    <row r="6" spans="1:6" x14ac:dyDescent="0.35">
      <c r="A6" s="12"/>
      <c r="B6" s="12"/>
      <c r="C6" s="12"/>
      <c r="D6" s="12"/>
      <c r="E6" s="13" t="str">
        <f>IF(A6="","",SUMPRODUCT(ISNUMBER(SEARCH(" "&amp;TRIM(A6)&amp;" "," "&amp;'Search terms'!$A$2:$A$404&amp;" "))*('Search terms'!$B$2:$B$404=$B$3)*'Search terms'!$G$2:$G$404))</f>
        <v/>
      </c>
      <c r="F6" s="12"/>
    </row>
    <row r="7" spans="1:6" x14ac:dyDescent="0.35">
      <c r="A7" s="12"/>
      <c r="B7" s="12"/>
      <c r="C7" s="12"/>
      <c r="D7" s="12"/>
      <c r="E7" s="13" t="str">
        <f>IF(A7="","",SUMPRODUCT(ISNUMBER(SEARCH(" "&amp;TRIM(A7)&amp;" "," "&amp;'Search terms'!$A$2:$A$404&amp;" "))*('Search terms'!$B$2:$B$404=$B$3)*'Search terms'!$G$2:$G$404))</f>
        <v/>
      </c>
      <c r="F7" s="12"/>
    </row>
    <row r="8" spans="1:6" x14ac:dyDescent="0.35">
      <c r="A8" s="12"/>
      <c r="B8" s="12"/>
      <c r="C8" s="12"/>
      <c r="D8" s="12"/>
      <c r="E8" s="13" t="str">
        <f>IF(A8="","",SUMPRODUCT(ISNUMBER(SEARCH(" "&amp;TRIM(A8)&amp;" "," "&amp;'Search terms'!$A$2:$A$404&amp;" "))*('Search terms'!$B$2:$B$404=$B$3)*'Search terms'!$G$2:$G$404))</f>
        <v/>
      </c>
      <c r="F8" s="12"/>
    </row>
    <row r="9" spans="1:6" x14ac:dyDescent="0.35">
      <c r="A9" s="12"/>
      <c r="B9" s="12"/>
      <c r="C9" s="12"/>
      <c r="D9" s="12"/>
      <c r="E9" s="13" t="str">
        <f>IF(A9="","",SUMPRODUCT(ISNUMBER(SEARCH(" "&amp;TRIM(A9)&amp;" "," "&amp;'Search terms'!$A$2:$A$404&amp;" "))*('Search terms'!$B$2:$B$404=$B$3)*'Search terms'!$G$2:$G$404))</f>
        <v/>
      </c>
      <c r="F9" s="12"/>
    </row>
    <row r="10" spans="1:6" x14ac:dyDescent="0.35">
      <c r="A10" s="12"/>
      <c r="B10" s="12"/>
      <c r="C10" s="12"/>
      <c r="D10" s="12"/>
      <c r="E10" s="13" t="str">
        <f>IF(A10="","",SUMPRODUCT(ISNUMBER(SEARCH(" "&amp;TRIM(A10)&amp;" "," "&amp;'Search terms'!$A$2:$A$404&amp;" "))*('Search terms'!$B$2:$B$404=$B$3)*'Search terms'!$G$2:$G$404))</f>
        <v/>
      </c>
      <c r="F10" s="12"/>
    </row>
    <row r="11" spans="1:6" x14ac:dyDescent="0.35">
      <c r="A11" s="12"/>
      <c r="B11" s="12"/>
      <c r="C11" s="12"/>
      <c r="D11" s="12"/>
      <c r="E11" s="13" t="str">
        <f>IF(A11="","",SUMPRODUCT(ISNUMBER(SEARCH(" "&amp;TRIM(A11)&amp;" "," "&amp;'Search terms'!$A$2:$A$404&amp;" "))*('Search terms'!$B$2:$B$404=$B$3)*'Search terms'!$G$2:$G$404))</f>
        <v/>
      </c>
      <c r="F11" s="12"/>
    </row>
    <row r="12" spans="1:6" x14ac:dyDescent="0.35">
      <c r="A12" s="12"/>
      <c r="B12" s="12"/>
      <c r="C12" s="12"/>
      <c r="D12" s="12"/>
      <c r="E12" s="13" t="str">
        <f>IF(A12="","",SUMPRODUCT(ISNUMBER(SEARCH(" "&amp;TRIM(A12)&amp;" "," "&amp;'Search terms'!$A$2:$A$404&amp;" "))*('Search terms'!$B$2:$B$404=$B$3)*'Search terms'!$G$2:$G$404))</f>
        <v/>
      </c>
      <c r="F12" s="12"/>
    </row>
    <row r="13" spans="1:6" x14ac:dyDescent="0.35">
      <c r="A13" s="12"/>
      <c r="B13" s="12"/>
      <c r="C13" s="12"/>
      <c r="D13" s="12"/>
      <c r="E13" s="13" t="str">
        <f>IF(A13="","",SUMPRODUCT(ISNUMBER(SEARCH(" "&amp;TRIM(A13)&amp;" "," "&amp;'Search terms'!$A$2:$A$404&amp;" "))*('Search terms'!$B$2:$B$404=$B$3)*'Search terms'!$G$2:$G$404))</f>
        <v/>
      </c>
      <c r="F13" s="12"/>
    </row>
    <row r="14" spans="1:6" x14ac:dyDescent="0.35">
      <c r="A14" s="12"/>
      <c r="B14" s="12"/>
      <c r="C14" s="12"/>
      <c r="D14" s="12"/>
      <c r="E14" s="13" t="str">
        <f>IF(A14="","",SUMPRODUCT(ISNUMBER(SEARCH(" "&amp;TRIM(A14)&amp;" "," "&amp;'Search terms'!$A$2:$A$404&amp;" "))*('Search terms'!$B$2:$B$404=$B$3)*'Search terms'!$G$2:$G$404))</f>
        <v/>
      </c>
      <c r="F14" s="12"/>
    </row>
    <row r="15" spans="1:6" x14ac:dyDescent="0.35">
      <c r="A15" s="12"/>
      <c r="B15" s="12"/>
      <c r="C15" s="12"/>
      <c r="D15" s="12"/>
      <c r="E15" s="13" t="str">
        <f>IF(A15="","",SUMPRODUCT(ISNUMBER(SEARCH(" "&amp;TRIM(A15)&amp;" "," "&amp;'Search terms'!$A$2:$A$404&amp;" "))*('Search terms'!$B$2:$B$404=$B$3)*'Search terms'!$G$2:$G$404))</f>
        <v/>
      </c>
      <c r="F15" s="12"/>
    </row>
    <row r="16" spans="1:6" x14ac:dyDescent="0.35">
      <c r="A16" s="12"/>
      <c r="B16" s="12"/>
      <c r="C16" s="12"/>
      <c r="D16" s="12"/>
      <c r="E16" s="13" t="str">
        <f>IF(A16="","",SUMPRODUCT(ISNUMBER(SEARCH(" "&amp;TRIM(A16)&amp;" "," "&amp;'Search terms'!$A$2:$A$404&amp;" "))*('Search terms'!$B$2:$B$404=$B$3)*'Search terms'!$G$2:$G$404))</f>
        <v/>
      </c>
      <c r="F16" s="12"/>
    </row>
    <row r="17" spans="1:6" x14ac:dyDescent="0.35">
      <c r="A17" s="12"/>
      <c r="B17" s="12"/>
      <c r="C17" s="12"/>
      <c r="D17" s="12"/>
      <c r="E17" s="13" t="str">
        <f>IF(A17="","",SUMPRODUCT(ISNUMBER(SEARCH(" "&amp;TRIM(A17)&amp;" "," "&amp;'Search terms'!$A$2:$A$404&amp;" "))*('Search terms'!$B$2:$B$404=$B$3)*'Search terms'!$G$2:$G$404))</f>
        <v/>
      </c>
      <c r="F17" s="12"/>
    </row>
    <row r="18" spans="1:6" x14ac:dyDescent="0.35">
      <c r="A18" s="12"/>
      <c r="B18" s="12"/>
      <c r="C18" s="12"/>
      <c r="D18" s="12"/>
      <c r="E18" s="13" t="str">
        <f>IF(A18="","",SUMPRODUCT(ISNUMBER(SEARCH(" "&amp;TRIM(A18)&amp;" "," "&amp;'Search terms'!$A$2:$A$404&amp;" "))*('Search terms'!$B$2:$B$404=$B$3)*'Search terms'!$G$2:$G$404))</f>
        <v/>
      </c>
      <c r="F18" s="12"/>
    </row>
    <row r="19" spans="1:6" x14ac:dyDescent="0.35">
      <c r="A19" s="12"/>
      <c r="B19" s="12"/>
      <c r="C19" s="12"/>
      <c r="D19" s="12"/>
      <c r="E19" s="13" t="str">
        <f>IF(A19="","",SUMPRODUCT(ISNUMBER(SEARCH(" "&amp;TRIM(A19)&amp;" "," "&amp;'Search terms'!$A$2:$A$404&amp;" "))*('Search terms'!$B$2:$B$404=$B$3)*'Search terms'!$G$2:$G$404))</f>
        <v/>
      </c>
      <c r="F19" s="12"/>
    </row>
    <row r="20" spans="1:6" x14ac:dyDescent="0.35">
      <c r="A20" s="12"/>
      <c r="B20" s="12"/>
      <c r="C20" s="12"/>
      <c r="D20" s="12"/>
      <c r="E20" s="13" t="str">
        <f>IF(A20="","",SUMPRODUCT(ISNUMBER(SEARCH(" "&amp;TRIM(A20)&amp;" "," "&amp;'Search terms'!$A$2:$A$404&amp;" "))*('Search terms'!$B$2:$B$404=$B$3)*'Search terms'!$G$2:$G$404))</f>
        <v/>
      </c>
      <c r="F20" s="12"/>
    </row>
    <row r="21" spans="1:6" x14ac:dyDescent="0.35">
      <c r="A21" s="12"/>
      <c r="B21" s="12"/>
      <c r="C21" s="12"/>
      <c r="D21" s="12"/>
      <c r="E21" s="13" t="str">
        <f>IF(A21="","",SUMPRODUCT(ISNUMBER(SEARCH(" "&amp;TRIM(A21)&amp;" "," "&amp;'Search terms'!$A$2:$A$404&amp;" "))*('Search terms'!$B$2:$B$404=$B$3)*'Search terms'!$G$2:$G$404))</f>
        <v/>
      </c>
      <c r="F21" s="12"/>
    </row>
    <row r="22" spans="1:6" x14ac:dyDescent="0.35">
      <c r="A22" s="12"/>
      <c r="B22" s="12"/>
      <c r="C22" s="12"/>
      <c r="D22" s="12"/>
      <c r="E22" s="13" t="str">
        <f>IF(A22="","",SUMPRODUCT(ISNUMBER(SEARCH(" "&amp;TRIM(A22)&amp;" "," "&amp;'Search terms'!$A$2:$A$404&amp;" "))*('Search terms'!$B$2:$B$404=$B$3)*'Search terms'!$G$2:$G$404))</f>
        <v/>
      </c>
      <c r="F22" s="12"/>
    </row>
    <row r="23" spans="1:6" x14ac:dyDescent="0.35">
      <c r="A23" s="12"/>
      <c r="B23" s="12"/>
      <c r="C23" s="12"/>
      <c r="D23" s="12"/>
      <c r="E23" s="13" t="str">
        <f>IF(A23="","",SUMPRODUCT(ISNUMBER(SEARCH(" "&amp;TRIM(A23)&amp;" "," "&amp;'Search terms'!$A$2:$A$404&amp;" "))*('Search terms'!$B$2:$B$404=$B$3)*'Search terms'!$G$2:$G$404))</f>
        <v/>
      </c>
      <c r="F23" s="12"/>
    </row>
    <row r="24" spans="1:6" x14ac:dyDescent="0.35">
      <c r="A24" s="12"/>
      <c r="B24" s="12"/>
      <c r="C24" s="12"/>
      <c r="D24" s="12"/>
      <c r="E24" s="13" t="str">
        <f>IF(A24="","",SUMPRODUCT(ISNUMBER(SEARCH(" "&amp;TRIM(A24)&amp;" "," "&amp;'Search terms'!$A$2:$A$404&amp;" "))*('Search terms'!$B$2:$B$404=$B$3)*'Search terms'!$G$2:$G$404))</f>
        <v/>
      </c>
      <c r="F24" s="12"/>
    </row>
    <row r="25" spans="1:6" x14ac:dyDescent="0.35">
      <c r="A25" s="12"/>
      <c r="B25" s="12"/>
      <c r="C25" s="12"/>
      <c r="D25" s="12"/>
      <c r="E25" s="13" t="str">
        <f>IF(A25="","",SUMPRODUCT(ISNUMBER(SEARCH(" "&amp;TRIM(A25)&amp;" "," "&amp;'Search terms'!$A$2:$A$404&amp;" "))*('Search terms'!$B$2:$B$404=$B$3)*'Search terms'!$G$2:$G$404))</f>
        <v/>
      </c>
      <c r="F25" s="12"/>
    </row>
  </sheetData>
  <mergeCells count="2">
    <mergeCell ref="A2:F2"/>
    <mergeCell ref="B3:D3"/>
  </mergeCells>
  <dataValidations count="1">
    <dataValidation type="list" showErrorMessage="1" errorTitle="Pick a campaign" error="Choose your team's campaign from the list." sqref="B3" xr:uid="{00000000-0002-0000-0200-000000000000}">
      <formula1>"US | Personal Loans | Comparison,US | Credit Cards | Travel Rewards,US | Pet Insurance | Comparison,US | Business Software | CRM"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5E3B"/>
  </sheetPr>
  <dimension ref="A1:B15"/>
  <sheetViews>
    <sheetView showGridLines="0" zoomScaleNormal="100" workbookViewId="0"/>
  </sheetViews>
  <sheetFormatPr defaultColWidth="8.6328125" defaultRowHeight="14.5" x14ac:dyDescent="0.35"/>
  <cols>
    <col min="1" max="1" width="28" customWidth="1"/>
    <col min="2" max="2" width="24" customWidth="1"/>
  </cols>
  <sheetData>
    <row r="1" spans="1:2" x14ac:dyDescent="0.35">
      <c r="A1" s="4" t="s">
        <v>471</v>
      </c>
    </row>
    <row r="3" spans="1:2" ht="30" customHeight="1" x14ac:dyDescent="0.35">
      <c r="A3" s="6" t="s">
        <v>472</v>
      </c>
      <c r="B3" s="6" t="s">
        <v>473</v>
      </c>
    </row>
    <row r="4" spans="1:2" x14ac:dyDescent="0.35">
      <c r="A4" s="7" t="s">
        <v>474</v>
      </c>
      <c r="B4" s="7" t="s">
        <v>475</v>
      </c>
    </row>
    <row r="5" spans="1:2" x14ac:dyDescent="0.35">
      <c r="A5" s="7" t="s">
        <v>474</v>
      </c>
      <c r="B5" s="7" t="s">
        <v>476</v>
      </c>
    </row>
    <row r="6" spans="1:2" x14ac:dyDescent="0.35">
      <c r="A6" s="7" t="s">
        <v>474</v>
      </c>
      <c r="B6" s="7" t="s">
        <v>477</v>
      </c>
    </row>
    <row r="7" spans="1:2" x14ac:dyDescent="0.35">
      <c r="A7" s="7" t="s">
        <v>474</v>
      </c>
      <c r="B7" s="7" t="s">
        <v>478</v>
      </c>
    </row>
    <row r="8" spans="1:2" x14ac:dyDescent="0.35">
      <c r="A8" s="7" t="s">
        <v>479</v>
      </c>
      <c r="B8" s="7" t="s">
        <v>480</v>
      </c>
    </row>
    <row r="9" spans="1:2" x14ac:dyDescent="0.35">
      <c r="A9" s="7" t="s">
        <v>479</v>
      </c>
      <c r="B9" s="7" t="s">
        <v>481</v>
      </c>
    </row>
    <row r="10" spans="1:2" x14ac:dyDescent="0.35">
      <c r="A10" s="7" t="s">
        <v>479</v>
      </c>
      <c r="B10" s="7" t="s">
        <v>482</v>
      </c>
    </row>
    <row r="11" spans="1:2" x14ac:dyDescent="0.35">
      <c r="A11" s="7" t="s">
        <v>479</v>
      </c>
      <c r="B11" s="7" t="s">
        <v>483</v>
      </c>
    </row>
    <row r="12" spans="1:2" x14ac:dyDescent="0.35">
      <c r="A12" s="7" t="s">
        <v>484</v>
      </c>
      <c r="B12" s="7" t="s">
        <v>485</v>
      </c>
    </row>
    <row r="13" spans="1:2" x14ac:dyDescent="0.35">
      <c r="A13" s="7" t="s">
        <v>484</v>
      </c>
      <c r="B13" s="7" t="s">
        <v>486</v>
      </c>
    </row>
    <row r="14" spans="1:2" x14ac:dyDescent="0.35">
      <c r="A14" s="7" t="s">
        <v>484</v>
      </c>
      <c r="B14" s="7" t="s">
        <v>487</v>
      </c>
    </row>
    <row r="15" spans="1:2" x14ac:dyDescent="0.35">
      <c r="A15" s="7" t="s">
        <v>484</v>
      </c>
      <c r="B15" s="7" t="s">
        <v>488</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Search terms</vt:lpstr>
      <vt:lpstr>My negatives</vt:lpstr>
      <vt:lpstr>Existing negative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Dr. Sridevi Tandley</cp:lastModifiedBy>
  <cp:revision>0</cp:revision>
  <dcterms:created xsi:type="dcterms:W3CDTF">2026-10-01T08:01:14Z</dcterms:created>
  <dcterms:modified xsi:type="dcterms:W3CDTF">2026-10-04T05:35:40Z</dcterms:modified>
  <dc:language>en-US</dc:language>
</cp:coreProperties>
</file>
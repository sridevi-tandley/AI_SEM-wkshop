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ily data (Sep)" sheetId="2" state="visible" r:id="rId4"/>
    <sheet name="Baseline" sheetId="3" state="visible" r:id="rId5"/>
    <sheet name="Scenario model" sheetId="4" state="visible" r:id="rId6"/>
    <sheet name="Day-type split" sheetId="5" state="visible" r:id="rId7"/>
    <sheet name="October pac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<sst xmlns="http://schemas.openxmlformats.org/spreadsheetml/2006/main" count="605" uniqueCount="140">
  <si>
    <t xml:space="preserve">File C · Budget and bid scenarios (Budget War Room)</t>
  </si>
  <si>
    <t xml:space="preserve">Synthetic training data created for this workshop. It is NOT Forbes Advisor data. Brand, lender, insurer, software and competitor names are fictional; competitor domains use the reserved .example suffix.</t>
  </si>
  <si>
    <t xml:space="preserve">What is in this file</t>
  </si>
  <si>
    <t xml:space="preserve">A live scenario model built on September daily data (1–27 Sep 2026). Baseline metrics are formulas over the "Daily data (Sep)" sheet and use only the rows marked "Yes" in "Include in baseline", so that each baseline reflects current conditions. Your facilitator explains the excluded days after the Lab 3b debrief.</t>
  </si>
  <si>
    <t xml:space="preserve">Colour code</t>
  </si>
  <si>
    <t xml:space="preserve">Blue text = inputs you can change · Black = formulas · Yellow fill = key assumptions and cells for you to fill in · Green text = values pulled from another sheet.</t>
  </si>
  <si>
    <t xml:space="preserve">Your task (Module 3, Budget War Room)</t>
  </si>
  <si>
    <t xml:space="preserve">Your team receives an inject card at 14:45, when this file is released. Model it with the tools in this file: "Scenario model" (spend and bid what-ifs: change only the blue inputs on your "Your scenario" row, or ask Copilot to add a row), the smart-cut calculator below it (cutting wasted terms first), "Day-type split" (weekdays against weekends) and "October pacing". Then prepare a 60-second decision: the number, the risk, the ask.</t>
  </si>
  <si>
    <t xml:space="preserve">Diminishing returns: buying more clicks costs more per click. The model raises CPC by the "CPC uplift per +10% spend" assumption for any spend above today's level.</t>
  </si>
  <si>
    <t xml:space="preserve">Metric definitions</t>
  </si>
  <si>
    <t xml:space="preserve">Click-outs = clicks from the comparison page to a partner offer (the conversion we optimise). Revenue = partner commission earned (USD).</t>
  </si>
  <si>
    <t xml:space="preserve">CTR = Clicks / Impressions · CPC = Cost / Clicks · Click-out rate = Click-outs / Clicks · RPC (revenue per click) = Revenue / Clicks</t>
  </si>
  <si>
    <t xml:space="preserve">ROAS = Revenue / Cost (1.20 means $1.20 back for every $1 spent) · Profit = Revenue − Cost</t>
  </si>
  <si>
    <t xml:space="preserve">Target ROAS by vertical: Personal Loans 1.20 · Credit Cards 1.25 · Pet Insurance 1.30 · Business Software (CRM) 1.25</t>
  </si>
  <si>
    <t xml:space="preserve">Working with Microsoft 365 Copilot in Excel (checked 28 Sep 2026)</t>
  </si>
  <si>
    <t xml:space="preserve">1. Open Copilot with the Copilot button at the bottom right of the sheet (some versions also show it on the Home tab).</t>
  </si>
  <si>
    <t xml:space="preserve">2. Pick the mode before you type. "Chat only" answers questions without changing the file. "Allow editing" (the default; this is Edit with Copilot, formerly Agent Mode) adds columns, formulas, PivotTables or charts. "Plan" shows the steps before it edits.</t>
  </si>
  <si>
    <t xml:space="preserve">3. The data is already an Excel table with one header row, which Copilot reads best. Saving to your team folder on OneDrive is recommended for sharing and AutoSave; Copilot also works on local files.</t>
  </si>
  <si>
    <t xml:space="preserve">4. Check before you trust: ask Copilot to show the formula it used, recompute one number yourself, and confirm totals match the source table.</t>
  </si>
  <si>
    <t xml:space="preserve">Date</t>
  </si>
  <si>
    <t xml:space="preserve">Day</t>
  </si>
  <si>
    <t xml:space="preserve">Weekend</t>
  </si>
  <si>
    <t xml:space="preserve">Vertical</t>
  </si>
  <si>
    <t xml:space="preserve">Impressions</t>
  </si>
  <si>
    <t xml:space="preserve">Clicks</t>
  </si>
  <si>
    <t xml:space="preserve">Cost (USD)</t>
  </si>
  <si>
    <t xml:space="preserve">Click-outs</t>
  </si>
  <si>
    <t xml:space="preserve">Revenue (USD)</t>
  </si>
  <si>
    <t xml:space="preserve">Search lost IS (budget)</t>
  </si>
  <si>
    <t xml:space="preserve">Include in baseline</t>
  </si>
  <si>
    <t xml:space="preserve">Why excluded</t>
  </si>
  <si>
    <t xml:space="preserve">Tue</t>
  </si>
  <si>
    <t xml:space="preserve">No</t>
  </si>
  <si>
    <t xml:space="preserve">Business Software (CRM)</t>
  </si>
  <si>
    <t xml:space="preserve">Yes</t>
  </si>
  <si>
    <t xml:space="preserve">Wed</t>
  </si>
  <si>
    <t xml:space="preserve">Thu</t>
  </si>
  <si>
    <t xml:space="preserve">Fri</t>
  </si>
  <si>
    <t xml:space="preserve">Sat</t>
  </si>
  <si>
    <t xml:space="preserve">Sun</t>
  </si>
  <si>
    <t xml:space="preserve">Mon</t>
  </si>
  <si>
    <t xml:space="preserve">Credit Cards</t>
  </si>
  <si>
    <t xml:space="preserve">Before the baseline window</t>
  </si>
  <si>
    <t xml:space="preserve">Personal Loans</t>
  </si>
  <si>
    <t xml:space="preserve">Abnormal day: see the Lab 3b debrief</t>
  </si>
  <si>
    <t xml:space="preserve">Pet Insurance</t>
  </si>
  <si>
    <t xml:space="preserve">Baseline: daily averages for current conditions (September)</t>
  </si>
  <si>
    <t xml:space="preserve">Baseline windows: Loans 9–27 Sep, excluding 14–15 Sep · Cards 8–27 Sep · Pet and CRM 1–27 Sep. The Lab 3b debrief explains why.</t>
  </si>
  <si>
    <t xml:space="preserve">Days in baseline</t>
  </si>
  <si>
    <t xml:space="preserve">Cost / day (USD)</t>
  </si>
  <si>
    <t xml:space="preserve">Clicks / day</t>
  </si>
  <si>
    <t xml:space="preserve">Avg CPC (USD)</t>
  </si>
  <si>
    <t xml:space="preserve">Click-out rate</t>
  </si>
  <si>
    <t xml:space="preserve">Revenue per click-out (USD)</t>
  </si>
  <si>
    <t xml:space="preserve">RPC (USD)</t>
  </si>
  <si>
    <t xml:space="preserve">Revenue / day (USD)</t>
  </si>
  <si>
    <t xml:space="preserve">ROAS</t>
  </si>
  <si>
    <t xml:space="preserve">Avg lost IS (budget)</t>
  </si>
  <si>
    <t xml:space="preserve">Daily budget (USD)</t>
  </si>
  <si>
    <t xml:space="preserve">Target ROAS</t>
  </si>
  <si>
    <t xml:space="preserve">Daily budget and target ROAS are inputs (blue). Target ROAS values are workshop assumptions agreed for this exercise.</t>
  </si>
  <si>
    <t xml:space="preserve">Scenario model: change the blue inputs; everything else recalculates</t>
  </si>
  <si>
    <t xml:space="preserve">Global assumptions</t>
  </si>
  <si>
    <t xml:space="preserve">CPC uplift per +10% spend above today (diminishing returns)</t>
  </si>
  <si>
    <t xml:space="preserve">Workshop assumption: each +10% of extra daily spend raises average CPC by 1.5% (the extra impressions you buy cost a little more). Challenge it.</t>
  </si>
  <si>
    <t xml:space="preserve">Click volume change per 1% CPC cut (bid-down elasticity)</t>
  </si>
  <si>
    <t xml:space="preserve">Workshop assumption: bidding CPC down by 1% loses about 1.2% of clicks (used only when "CPC change" is negative). Challenge it.</t>
  </si>
  <si>
    <t xml:space="preserve">Scenario</t>
  </si>
  <si>
    <t xml:space="preserve">Spend cap change (vs today's spend)</t>
  </si>
  <si>
    <t xml:space="preserve">CPC change (bids or market)</t>
  </si>
  <si>
    <t xml:space="preserve">Click-out rate change</t>
  </si>
  <si>
    <t xml:space="preserve">Revenue per click-out change</t>
  </si>
  <si>
    <t xml:space="preserve">Baseline cost / day</t>
  </si>
  <si>
    <t xml:space="preserve">Baseline CPC</t>
  </si>
  <si>
    <t xml:space="preserve">Lost IS (budget)</t>
  </si>
  <si>
    <t xml:space="preserve">Potential spend / day</t>
  </si>
  <si>
    <t xml:space="preserve">New spend cap / day</t>
  </si>
  <si>
    <t xml:space="preserve">New spend / day</t>
  </si>
  <si>
    <t xml:space="preserve">New CPC</t>
  </si>
  <si>
    <t xml:space="preserve">New clicks / day</t>
  </si>
  <si>
    <t xml:space="preserve">New click-outs / day</t>
  </si>
  <si>
    <t xml:space="preserve">New revenue / day</t>
  </si>
  <si>
    <t xml:space="preserve">New ROAS</t>
  </si>
  <si>
    <t xml:space="preserve">New profit / day</t>
  </si>
  <si>
    <t xml:space="preserve">Profit change / day</t>
  </si>
  <si>
    <t xml:space="preserve">Meets target ROAS?</t>
  </si>
  <si>
    <t xml:space="preserve">Marginal ROAS (extra revenue ÷ extra spend)</t>
  </si>
  <si>
    <t xml:space="preserve">Baseline (no change)</t>
  </si>
  <si>
    <t xml:space="preserve">Your scenario</t>
  </si>
  <si>
    <t xml:space="preserve">How to read it</t>
  </si>
  <si>
    <t xml:space="preserve">• "Spend cap change" applies to today's average spend (Baseline cost / day), not to the Google daily budget: +30% for Pet means about 30% more than the September average.</t>
  </si>
  <si>
    <t xml:space="preserve">• New spend = the lower of the new spend cap and the demand you could buy (today's spend grossed up for impressions lost to budget).</t>
  </si>
  <si>
    <t xml:space="preserve">• Spend cuts are modelled as proportional cuts across all terms. Compare with cutting wasted terms first (smart-cut calculator below).</t>
  </si>
  <si>
    <t xml:space="preserve">• When "CPC change" is negative (bidding down), clicks fall by the elasticity assumption and no CPC uplift applies.</t>
  </si>
  <si>
    <t xml:space="preserve">• Max CPC at target ROAS = revenue per click ÷ target ROAS. Above it, every extra click loses money against the target.</t>
  </si>
  <si>
    <t xml:space="preserve">• Marginal ROAS (last column) = extra revenue ÷ extra spend against the baseline row. A campaign can stay above target on average while the extra spend earns less than it costs.</t>
  </si>
  <si>
    <t xml:space="preserve">Smart-cut calculator (Team Loans): cut wasted terms first, then the rest proportionally</t>
  </si>
  <si>
    <t xml:space="preserve">Wasted spend you found in Lab 3a, 1–27 Sep (USD)</t>
  </si>
  <si>
    <t xml:space="preserve">Revenue earned by those wasted terms, 1–27 Sep (USD)</t>
  </si>
  <si>
    <t xml:space="preserve">Days covered by the search terms report</t>
  </si>
  <si>
    <t xml:space="preserve">Spend cut required, as a share of today's daily spend (a 20% cut = 20%; the sign does not matter)</t>
  </si>
  <si>
    <t xml:space="preserve">Spend cut per day (USD)</t>
  </si>
  <si>
    <t xml:space="preserve">Cut from wasted terms per day</t>
  </si>
  <si>
    <t xml:space="preserve">Revenue lost from wasted terms per day</t>
  </si>
  <si>
    <t xml:space="preserve">Remaining cut, taken proportionally (per day)</t>
  </si>
  <si>
    <t xml:space="preserve">Revenue lost on the remaining cut (per day)</t>
  </si>
  <si>
    <t xml:space="preserve">Total revenue lost per day: smart cut</t>
  </si>
  <si>
    <t xml:space="preserve">Total revenue lost per day: proportional cut</t>
  </si>
  <si>
    <t xml:space="preserve">Revenue kept per day by cutting smart</t>
  </si>
  <si>
    <t xml:space="preserve">Type your Lab 3a numbers and the cut on your inject card into the yellow cells. The calculator shows 0 until you do.</t>
  </si>
  <si>
    <t xml:space="preserve">Weekdays against weekends, September (any vertical)</t>
  </si>
  <si>
    <t xml:space="preserve">Pick a vertical in the yellow cell. The table stays blank until you do. It uses the baseline days only ("Include in baseline" = Yes on the daily sheet).</t>
  </si>
  <si>
    <t xml:space="preserve">Day type</t>
  </si>
  <si>
    <t xml:space="preserve">Days</t>
  </si>
  <si>
    <t xml:space="preserve">Profit / day (USD)</t>
  </si>
  <si>
    <t xml:space="preserve">Days per week</t>
  </si>
  <si>
    <t xml:space="preserve">Profit per week (USD)</t>
  </si>
  <si>
    <t xml:space="preserve">Weekdays</t>
  </si>
  <si>
    <t xml:space="preserve">Weekends</t>
  </si>
  <si>
    <t xml:space="preserve">Target ROAS for this vertical</t>
  </si>
  <si>
    <t xml:space="preserve">Highest weekday CPC that meets the target</t>
  </si>
  <si>
    <t xml:space="preserve">Current weekday CPC</t>
  </si>
  <si>
    <t xml:space="preserve">Weekday CPC change needed</t>
  </si>
  <si>
    <t xml:space="preserve">ROAS = revenue ÷ cost. Highest CPC that meets the target = revenue per click ÷ target ROAS. Check one number by hand before you use it.</t>
  </si>
  <si>
    <t xml:space="preserve">October 2026 pacing check (as of Sun 4 Oct)</t>
  </si>
  <si>
    <t xml:space="preserve">Month-to-date spend (1–4 Oct) and monthly budgets are inputs. 1–4 Oct = Thu, Fri, Sat, Sun. October has 22 weekdays and 9 weekend days.</t>
  </si>
  <si>
    <t xml:space="preserve">Monthly budget (USD)</t>
  </si>
  <si>
    <t xml:space="preserve">MTD spend (USD)</t>
  </si>
  <si>
    <t xml:space="preserve">Days elapsed</t>
  </si>
  <si>
    <t xml:space="preserve">Days in month</t>
  </si>
  <si>
    <t xml:space="preserve">Linear projection (USD)</t>
  </si>
  <si>
    <t xml:space="preserve">Pace vs budget</t>
  </si>
  <si>
    <t xml:space="preserve">Required spend / day for rest of month (USD)</t>
  </si>
  <si>
    <t xml:space="preserve">Weekday share of weekly spend</t>
  </si>
  <si>
    <t xml:space="preserve">Remaining weekdays</t>
  </si>
  <si>
    <t xml:space="preserve">Remaining weekend days</t>
  </si>
  <si>
    <t xml:space="preserve">Day-weighted projection (USD)</t>
  </si>
  <si>
    <t xml:space="preserve">Day-weighted pace</t>
  </si>
  <si>
    <t xml:space="preserve">Weekday share of weekly spend is calculated from each vertical's September baseline days (green: pulled from "Daily data (Sep)"). Monthly budgets and month-to-date spend are synthetic inputs for this exercise.</t>
  </si>
  <si>
    <t xml:space="preserve">Why two projections? October started on a Thursday, so two of the first four days were weekend days. A straight-line projection ignores that; the day-weighted one does not.</t>
  </si>
</sst>
</file>

<file path=xl/styles.xml><?xml version="1.0" encoding="utf-8"?>
<styleSheet xmlns="http://schemas.openxmlformats.org/spreadsheetml/2006/main">
  <numFmts count="9">
    <numFmt numFmtId="164" formatCode="General"/>
    <numFmt numFmtId="165" formatCode="dd\ mmm\ yyyy"/>
    <numFmt numFmtId="166" formatCode="#,##0;\(#,##0\);\-"/>
    <numFmt numFmtId="167" formatCode="\$#,##0.00;&quot;($&quot;#,##0.00\);\-"/>
    <numFmt numFmtId="168" formatCode="0.0%;\(0.0%\);\-"/>
    <numFmt numFmtId="169" formatCode="\$#,##0;&quot;($&quot;#,##0\);\-"/>
    <numFmt numFmtId="170" formatCode="0.00\x"/>
    <numFmt numFmtId="171" formatCode="0.0"/>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B5E3B"/>
      <name val="Arial"/>
      <family val="0"/>
      <charset val="1"/>
    </font>
    <font>
      <i val="true"/>
      <sz val="9"/>
      <color rgb="FF5F6B76"/>
      <name val="Arial"/>
      <family val="0"/>
      <charset val="1"/>
    </font>
    <font>
      <b val="true"/>
      <sz val="11"/>
      <color rgb="FF0F766E"/>
      <name val="Arial"/>
      <family val="0"/>
      <charset val="1"/>
    </font>
    <font>
      <sz val="10"/>
      <color rgb="FF1F2933"/>
      <name val="Arial"/>
      <family val="0"/>
      <charset val="1"/>
    </font>
    <font>
      <b val="true"/>
      <sz val="10"/>
      <color rgb="FFFFFFFF"/>
      <name val="Arial"/>
      <family val="0"/>
      <charset val="1"/>
    </font>
    <font>
      <b val="true"/>
      <sz val="10"/>
      <color rgb="FF1F2933"/>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B5E3B"/>
        <bgColor rgb="FF0F766E"/>
      </patternFill>
    </fill>
    <fill>
      <patternFill patternType="solid">
        <fgColor rgb="FFFFFF00"/>
        <bgColor rgb="FFFFFF00"/>
      </patternFill>
    </fill>
    <fill>
      <patternFill patternType="solid">
        <fgColor rgb="FFFAF5E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71" fontId="10" fillId="3"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72" fontId="10" fillId="4" borderId="0" xfId="0" applyFont="true" applyBorder="false" applyAlignment="true" applyProtection="false">
      <alignment horizontal="center" vertical="bottom" textRotation="0" wrapText="false" indent="0" shrinkToFit="false"/>
      <protection locked="true" hidden="false"/>
    </xf>
    <xf numFmtId="169" fontId="11" fillId="4"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69"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70"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B5E3B"/>
          <bgColor rgb="FF000000"/>
        </patternFill>
      </fill>
    </dxf>
    <dxf>
      <fill>
        <patternFill patternType="solid">
          <bgColor rgb="FF000000"/>
        </patternFill>
      </fill>
    </dxf>
    <dxf>
      <fill>
        <patternFill patternType="solid">
          <fgColor rgb="FF1F2933"/>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AF5E6"/>
      <rgbColor rgb="FFCCFFFF"/>
      <rgbColor rgb="FF660066"/>
      <rgbColor rgb="FFFF8080"/>
      <rgbColor rgb="FF0066CC"/>
      <rgbColor rgb="FFCCCCFF"/>
      <rgbColor rgb="FF000080"/>
      <rgbColor rgb="FFFF00FF"/>
      <rgbColor rgb="FFFFFF00"/>
      <rgbColor rgb="FF00FFFF"/>
      <rgbColor rgb="FF800080"/>
      <rgbColor rgb="FF800000"/>
      <rgbColor rgb="FF1B5E3B"/>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B76"/>
      <rgbColor rgb="FF969696"/>
      <rgbColor rgb="FF003366"/>
      <rgbColor rgb="FF339966"/>
      <rgbColor rgb="FF003300"/>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SepDaily" displayName="SepDaily" ref="A1:L109" headerRowCount="1" totalsRowCount="0" totalsRowShown="0">
  <autoFilter ref="A1:L109"/>
  <tableColumns count="12">
    <tableColumn id="1" name="Date"/>
    <tableColumn id="2" name="Day"/>
    <tableColumn id="3" name="Weekend"/>
    <tableColumn id="4" name="Vertical"/>
    <tableColumn id="5" name="Impressions"/>
    <tableColumn id="6" name="Clicks"/>
    <tableColumn id="7" name="Cost (USD)"/>
    <tableColumn id="8" name="Click-outs"/>
    <tableColumn id="9" name="Revenue (USD)"/>
    <tableColumn id="10" name="Search lost IS (budget)"/>
    <tableColumn id="11" name="Include in baseline"/>
    <tableColumn id="12" name="Why exclud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false"/>
  </sheetPr>
  <dimension ref="A1:A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30" hidden="false" customHeight="true" outlineLevel="0" collapsed="false">
      <c r="A2" s="2" t="s">
        <v>1</v>
      </c>
    </row>
    <row r="4" customFormat="false" ht="15" hidden="false" customHeight="false" outlineLevel="0" collapsed="false">
      <c r="A4" s="3" t="s">
        <v>2</v>
      </c>
    </row>
    <row r="5" customFormat="false" ht="45" hidden="false" customHeight="true" outlineLevel="0" collapsed="false">
      <c r="A5" s="4" t="s">
        <v>3</v>
      </c>
    </row>
    <row r="6" customFormat="false" ht="15" hidden="false" customHeight="false" outlineLevel="0" collapsed="false">
      <c r="A6" s="3" t="s">
        <v>4</v>
      </c>
    </row>
    <row r="7" customFormat="false" ht="30" hidden="false" customHeight="true" outlineLevel="0" collapsed="false">
      <c r="A7" s="4" t="s">
        <v>5</v>
      </c>
    </row>
    <row r="8" customFormat="false" ht="15" hidden="false" customHeight="false" outlineLevel="0" collapsed="false">
      <c r="A8" s="3" t="s">
        <v>6</v>
      </c>
    </row>
    <row r="9" customFormat="false" ht="60" hidden="false" customHeight="true" outlineLevel="0" collapsed="false">
      <c r="A9" s="4" t="s">
        <v>7</v>
      </c>
    </row>
    <row r="10" customFormat="false" ht="30" hidden="false" customHeight="true" outlineLevel="0" collapsed="false">
      <c r="A10" s="4" t="s">
        <v>8</v>
      </c>
    </row>
    <row r="11" customFormat="false" ht="15" hidden="false" customHeight="false" outlineLevel="0" collapsed="false">
      <c r="A11" s="3" t="s">
        <v>9</v>
      </c>
    </row>
    <row r="12" customFormat="false" ht="30" hidden="false" customHeight="true" outlineLevel="0" collapsed="false">
      <c r="A12" s="4" t="s">
        <v>10</v>
      </c>
    </row>
    <row r="13" customFormat="false" ht="30" hidden="false" customHeight="true" outlineLevel="0" collapsed="false">
      <c r="A13" s="4" t="s">
        <v>11</v>
      </c>
    </row>
    <row r="14" customFormat="false" ht="15" hidden="false" customHeight="true" outlineLevel="0" collapsed="false">
      <c r="A14" s="4" t="s">
        <v>12</v>
      </c>
    </row>
    <row r="15" customFormat="false" ht="30" hidden="false" customHeight="true" outlineLevel="0" collapsed="false">
      <c r="A15" s="4" t="s">
        <v>13</v>
      </c>
    </row>
    <row r="16" customFormat="false" ht="15" hidden="false" customHeight="false" outlineLevel="0" collapsed="false">
      <c r="A16" s="3" t="s">
        <v>14</v>
      </c>
    </row>
    <row r="17" customFormat="false" ht="30" hidden="false" customHeight="true" outlineLevel="0" collapsed="false">
      <c r="A17" s="4" t="s">
        <v>15</v>
      </c>
    </row>
    <row r="18" customFormat="false" ht="45" hidden="false" customHeight="true" outlineLevel="0" collapsed="false">
      <c r="A18" s="4" t="s">
        <v>16</v>
      </c>
    </row>
    <row r="19" customFormat="false" ht="30" hidden="false" customHeight="true" outlineLevel="0" collapsed="false">
      <c r="A19" s="4" t="s">
        <v>17</v>
      </c>
    </row>
    <row r="20" customFormat="false" ht="30" hidden="false" customHeight="true" outlineLevel="0" collapsed="false">
      <c r="A20"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false"/>
  </sheetPr>
  <dimension ref="A1:L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4"/>
    <col collapsed="false" customWidth="true" hidden="false" outlineLevel="0" max="5" min="5" style="0" width="14"/>
    <col collapsed="false" customWidth="true" hidden="false" outlineLevel="0" max="6" min="6" style="0" width="11"/>
    <col collapsed="false" customWidth="true" hidden="false" outlineLevel="0" max="8" min="7" style="0" width="13"/>
    <col collapsed="false" customWidth="true" hidden="false" outlineLevel="0" max="9" min="9" style="0" width="16"/>
    <col collapsed="false" customWidth="true" hidden="false" outlineLevel="0" max="10" min="10" style="0" width="26"/>
    <col collapsed="false" customWidth="true" hidden="false" outlineLevel="0" max="11" min="11" style="0" width="22"/>
    <col collapsed="false" customWidth="true" hidden="false" outlineLevel="0" max="12" min="12" style="0" width="40"/>
  </cols>
  <sheetData>
    <row r="1" customFormat="false" ht="30" hidden="false" customHeight="true" outlineLevel="0" collapsed="false">
      <c r="A1" s="5" t="s">
        <v>19</v>
      </c>
      <c r="B1" s="5" t="s">
        <v>20</v>
      </c>
      <c r="C1" s="5" t="s">
        <v>21</v>
      </c>
      <c r="D1" s="5" t="s">
        <v>22</v>
      </c>
      <c r="E1" s="5" t="s">
        <v>23</v>
      </c>
      <c r="F1" s="5" t="s">
        <v>24</v>
      </c>
      <c r="G1" s="5" t="s">
        <v>25</v>
      </c>
      <c r="H1" s="5" t="s">
        <v>26</v>
      </c>
      <c r="I1" s="5" t="s">
        <v>27</v>
      </c>
      <c r="J1" s="5" t="s">
        <v>28</v>
      </c>
      <c r="K1" s="5" t="s">
        <v>29</v>
      </c>
      <c r="L1" s="5" t="s">
        <v>30</v>
      </c>
    </row>
    <row r="2" customFormat="false" ht="15" hidden="false" customHeight="false" outlineLevel="0" collapsed="false">
      <c r="A2" s="6" t="n">
        <v>46266</v>
      </c>
      <c r="B2" s="7" t="s">
        <v>31</v>
      </c>
      <c r="C2" s="7" t="s">
        <v>32</v>
      </c>
      <c r="D2" s="7" t="s">
        <v>33</v>
      </c>
      <c r="E2" s="8" t="n">
        <v>6144</v>
      </c>
      <c r="F2" s="8" t="n">
        <v>247</v>
      </c>
      <c r="G2" s="9" t="n">
        <v>2994.48</v>
      </c>
      <c r="H2" s="8" t="n">
        <v>51</v>
      </c>
      <c r="I2" s="9" t="n">
        <v>3322.48</v>
      </c>
      <c r="J2" s="10" t="n">
        <v>0.0013</v>
      </c>
      <c r="K2" s="7" t="s">
        <v>34</v>
      </c>
      <c r="L2" s="7"/>
    </row>
    <row r="3" customFormat="false" ht="15" hidden="false" customHeight="false" outlineLevel="0" collapsed="false">
      <c r="A3" s="6" t="n">
        <v>46267</v>
      </c>
      <c r="B3" s="7" t="s">
        <v>35</v>
      </c>
      <c r="C3" s="7" t="s">
        <v>32</v>
      </c>
      <c r="D3" s="7" t="s">
        <v>33</v>
      </c>
      <c r="E3" s="8" t="n">
        <v>6266</v>
      </c>
      <c r="F3" s="8" t="n">
        <v>217</v>
      </c>
      <c r="G3" s="9" t="n">
        <v>2608.69</v>
      </c>
      <c r="H3" s="8" t="n">
        <v>45</v>
      </c>
      <c r="I3" s="9" t="n">
        <v>2907.44</v>
      </c>
      <c r="J3" s="10" t="n">
        <v>0.0035</v>
      </c>
      <c r="K3" s="7" t="s">
        <v>34</v>
      </c>
      <c r="L3" s="7"/>
    </row>
    <row r="4" customFormat="false" ht="15" hidden="false" customHeight="false" outlineLevel="0" collapsed="false">
      <c r="A4" s="6" t="n">
        <v>46268</v>
      </c>
      <c r="B4" s="7" t="s">
        <v>36</v>
      </c>
      <c r="C4" s="7" t="s">
        <v>32</v>
      </c>
      <c r="D4" s="7" t="s">
        <v>33</v>
      </c>
      <c r="E4" s="8" t="n">
        <v>6223</v>
      </c>
      <c r="F4" s="8" t="n">
        <v>247</v>
      </c>
      <c r="G4" s="9" t="n">
        <v>3191.3</v>
      </c>
      <c r="H4" s="8" t="n">
        <v>42</v>
      </c>
      <c r="I4" s="9" t="n">
        <v>2981.43</v>
      </c>
      <c r="J4" s="10" t="n">
        <v>0.0006</v>
      </c>
      <c r="K4" s="7" t="s">
        <v>34</v>
      </c>
      <c r="L4" s="7"/>
    </row>
    <row r="5" customFormat="false" ht="15" hidden="false" customHeight="false" outlineLevel="0" collapsed="false">
      <c r="A5" s="6" t="n">
        <v>46269</v>
      </c>
      <c r="B5" s="7" t="s">
        <v>37</v>
      </c>
      <c r="C5" s="7" t="s">
        <v>32</v>
      </c>
      <c r="D5" s="7" t="s">
        <v>33</v>
      </c>
      <c r="E5" s="8" t="n">
        <v>6251</v>
      </c>
      <c r="F5" s="8" t="n">
        <v>241</v>
      </c>
      <c r="G5" s="9" t="n">
        <v>2845.48</v>
      </c>
      <c r="H5" s="8" t="n">
        <v>46</v>
      </c>
      <c r="I5" s="9" t="n">
        <v>3132.83</v>
      </c>
      <c r="J5" s="10" t="n">
        <v>0.0026</v>
      </c>
      <c r="K5" s="7" t="s">
        <v>34</v>
      </c>
      <c r="L5" s="7"/>
    </row>
    <row r="6" customFormat="false" ht="15" hidden="false" customHeight="false" outlineLevel="0" collapsed="false">
      <c r="A6" s="6" t="n">
        <v>46270</v>
      </c>
      <c r="B6" s="7" t="s">
        <v>38</v>
      </c>
      <c r="C6" s="7" t="s">
        <v>34</v>
      </c>
      <c r="D6" s="7" t="s">
        <v>33</v>
      </c>
      <c r="E6" s="8" t="n">
        <v>2744</v>
      </c>
      <c r="F6" s="8" t="n">
        <v>90</v>
      </c>
      <c r="G6" s="9" t="n">
        <v>965.02</v>
      </c>
      <c r="H6" s="8" t="n">
        <v>6</v>
      </c>
      <c r="I6" s="9" t="n">
        <v>406.5</v>
      </c>
      <c r="J6" s="10" t="n">
        <v>0.0058</v>
      </c>
      <c r="K6" s="7" t="s">
        <v>34</v>
      </c>
      <c r="L6" s="7"/>
    </row>
    <row r="7" customFormat="false" ht="15" hidden="false" customHeight="false" outlineLevel="0" collapsed="false">
      <c r="A7" s="6" t="n">
        <v>46271</v>
      </c>
      <c r="B7" s="7" t="s">
        <v>39</v>
      </c>
      <c r="C7" s="7" t="s">
        <v>34</v>
      </c>
      <c r="D7" s="7" t="s">
        <v>33</v>
      </c>
      <c r="E7" s="8" t="n">
        <v>2719</v>
      </c>
      <c r="F7" s="8" t="n">
        <v>115</v>
      </c>
      <c r="G7" s="9" t="n">
        <v>1260.43</v>
      </c>
      <c r="H7" s="8" t="n">
        <v>9</v>
      </c>
      <c r="I7" s="9" t="n">
        <v>590.25</v>
      </c>
      <c r="J7" s="10" t="n">
        <v>0.004</v>
      </c>
      <c r="K7" s="7" t="s">
        <v>34</v>
      </c>
      <c r="L7" s="7"/>
    </row>
    <row r="8" customFormat="false" ht="15" hidden="false" customHeight="false" outlineLevel="0" collapsed="false">
      <c r="A8" s="6" t="n">
        <v>46272</v>
      </c>
      <c r="B8" s="7" t="s">
        <v>40</v>
      </c>
      <c r="C8" s="7" t="s">
        <v>32</v>
      </c>
      <c r="D8" s="7" t="s">
        <v>33</v>
      </c>
      <c r="E8" s="8" t="n">
        <v>2938</v>
      </c>
      <c r="F8" s="8" t="n">
        <v>94</v>
      </c>
      <c r="G8" s="9" t="n">
        <v>1053.46</v>
      </c>
      <c r="H8" s="8" t="n">
        <v>9</v>
      </c>
      <c r="I8" s="9" t="n">
        <v>559.51</v>
      </c>
      <c r="J8" s="10" t="n">
        <v>0.0062</v>
      </c>
      <c r="K8" s="7" t="s">
        <v>34</v>
      </c>
      <c r="L8" s="7"/>
    </row>
    <row r="9" customFormat="false" ht="15" hidden="false" customHeight="false" outlineLevel="0" collapsed="false">
      <c r="A9" s="6" t="n">
        <v>46273</v>
      </c>
      <c r="B9" s="7" t="s">
        <v>31</v>
      </c>
      <c r="C9" s="7" t="s">
        <v>32</v>
      </c>
      <c r="D9" s="7" t="s">
        <v>33</v>
      </c>
      <c r="E9" s="8" t="n">
        <v>5904</v>
      </c>
      <c r="F9" s="8" t="n">
        <v>217</v>
      </c>
      <c r="G9" s="9" t="n">
        <v>2652.43</v>
      </c>
      <c r="H9" s="8" t="n">
        <v>27</v>
      </c>
      <c r="I9" s="9" t="n">
        <v>1832.61</v>
      </c>
      <c r="J9" s="10" t="n">
        <v>0.0099</v>
      </c>
      <c r="K9" s="7" t="s">
        <v>34</v>
      </c>
      <c r="L9" s="7"/>
    </row>
    <row r="10" customFormat="false" ht="15" hidden="false" customHeight="false" outlineLevel="0" collapsed="false">
      <c r="A10" s="6" t="n">
        <v>46274</v>
      </c>
      <c r="B10" s="7" t="s">
        <v>35</v>
      </c>
      <c r="C10" s="7" t="s">
        <v>32</v>
      </c>
      <c r="D10" s="7" t="s">
        <v>33</v>
      </c>
      <c r="E10" s="8" t="n">
        <v>6060</v>
      </c>
      <c r="F10" s="8" t="n">
        <v>215</v>
      </c>
      <c r="G10" s="9" t="n">
        <v>2803.29</v>
      </c>
      <c r="H10" s="8" t="n">
        <v>29</v>
      </c>
      <c r="I10" s="9" t="n">
        <v>1974.19</v>
      </c>
      <c r="J10" s="10" t="n">
        <v>0.0041</v>
      </c>
      <c r="K10" s="7" t="s">
        <v>34</v>
      </c>
      <c r="L10" s="7"/>
    </row>
    <row r="11" customFormat="false" ht="15" hidden="false" customHeight="false" outlineLevel="0" collapsed="false">
      <c r="A11" s="6" t="n">
        <v>46275</v>
      </c>
      <c r="B11" s="7" t="s">
        <v>36</v>
      </c>
      <c r="C11" s="7" t="s">
        <v>32</v>
      </c>
      <c r="D11" s="7" t="s">
        <v>33</v>
      </c>
      <c r="E11" s="8" t="n">
        <v>6454</v>
      </c>
      <c r="F11" s="8" t="n">
        <v>232</v>
      </c>
      <c r="G11" s="9" t="n">
        <v>2700.04</v>
      </c>
      <c r="H11" s="8" t="n">
        <v>44</v>
      </c>
      <c r="I11" s="9" t="n">
        <v>2909.74</v>
      </c>
      <c r="J11" s="10" t="n">
        <v>0.0016</v>
      </c>
      <c r="K11" s="7" t="s">
        <v>34</v>
      </c>
      <c r="L11" s="7"/>
    </row>
    <row r="12" customFormat="false" ht="15" hidden="false" customHeight="false" outlineLevel="0" collapsed="false">
      <c r="A12" s="6" t="n">
        <v>46276</v>
      </c>
      <c r="B12" s="7" t="s">
        <v>37</v>
      </c>
      <c r="C12" s="7" t="s">
        <v>32</v>
      </c>
      <c r="D12" s="7" t="s">
        <v>33</v>
      </c>
      <c r="E12" s="8" t="n">
        <v>5957</v>
      </c>
      <c r="F12" s="8" t="n">
        <v>244</v>
      </c>
      <c r="G12" s="9" t="n">
        <v>3009.55</v>
      </c>
      <c r="H12" s="8" t="n">
        <v>54</v>
      </c>
      <c r="I12" s="9" t="n">
        <v>4028.56</v>
      </c>
      <c r="J12" s="10" t="n">
        <v>0.0044</v>
      </c>
      <c r="K12" s="7" t="s">
        <v>34</v>
      </c>
      <c r="L12" s="7"/>
    </row>
    <row r="13" customFormat="false" ht="15" hidden="false" customHeight="false" outlineLevel="0" collapsed="false">
      <c r="A13" s="6" t="n">
        <v>46277</v>
      </c>
      <c r="B13" s="7" t="s">
        <v>38</v>
      </c>
      <c r="C13" s="7" t="s">
        <v>34</v>
      </c>
      <c r="D13" s="7" t="s">
        <v>33</v>
      </c>
      <c r="E13" s="8" t="n">
        <v>2648</v>
      </c>
      <c r="F13" s="8" t="n">
        <v>100</v>
      </c>
      <c r="G13" s="9" t="n">
        <v>1043.09</v>
      </c>
      <c r="H13" s="8" t="n">
        <v>9</v>
      </c>
      <c r="I13" s="9" t="n">
        <v>610.71</v>
      </c>
      <c r="J13" s="10" t="n">
        <v>0.0032</v>
      </c>
      <c r="K13" s="7" t="s">
        <v>34</v>
      </c>
      <c r="L13" s="7"/>
    </row>
    <row r="14" customFormat="false" ht="15" hidden="false" customHeight="false" outlineLevel="0" collapsed="false">
      <c r="A14" s="6" t="n">
        <v>46278</v>
      </c>
      <c r="B14" s="7" t="s">
        <v>39</v>
      </c>
      <c r="C14" s="7" t="s">
        <v>34</v>
      </c>
      <c r="D14" s="7" t="s">
        <v>33</v>
      </c>
      <c r="E14" s="8" t="n">
        <v>2726</v>
      </c>
      <c r="F14" s="8" t="n">
        <v>101</v>
      </c>
      <c r="G14" s="9" t="n">
        <v>1045.63</v>
      </c>
      <c r="H14" s="8" t="n">
        <v>9</v>
      </c>
      <c r="I14" s="9" t="n">
        <v>649.13</v>
      </c>
      <c r="J14" s="10" t="n">
        <v>0.0087</v>
      </c>
      <c r="K14" s="7" t="s">
        <v>34</v>
      </c>
      <c r="L14" s="7"/>
    </row>
    <row r="15" customFormat="false" ht="15" hidden="false" customHeight="false" outlineLevel="0" collapsed="false">
      <c r="A15" s="6" t="n">
        <v>46279</v>
      </c>
      <c r="B15" s="7" t="s">
        <v>40</v>
      </c>
      <c r="C15" s="7" t="s">
        <v>32</v>
      </c>
      <c r="D15" s="7" t="s">
        <v>33</v>
      </c>
      <c r="E15" s="8" t="n">
        <v>6361</v>
      </c>
      <c r="F15" s="8" t="n">
        <v>283</v>
      </c>
      <c r="G15" s="9" t="n">
        <v>3567.82</v>
      </c>
      <c r="H15" s="8" t="n">
        <v>51</v>
      </c>
      <c r="I15" s="9" t="n">
        <v>3584.13</v>
      </c>
      <c r="J15" s="10" t="n">
        <v>0.0051</v>
      </c>
      <c r="K15" s="7" t="s">
        <v>34</v>
      </c>
      <c r="L15" s="7"/>
    </row>
    <row r="16" customFormat="false" ht="15" hidden="false" customHeight="false" outlineLevel="0" collapsed="false">
      <c r="A16" s="6" t="n">
        <v>46280</v>
      </c>
      <c r="B16" s="7" t="s">
        <v>31</v>
      </c>
      <c r="C16" s="7" t="s">
        <v>32</v>
      </c>
      <c r="D16" s="7" t="s">
        <v>33</v>
      </c>
      <c r="E16" s="8" t="n">
        <v>5745</v>
      </c>
      <c r="F16" s="8" t="n">
        <v>222</v>
      </c>
      <c r="G16" s="9" t="n">
        <v>2687.38</v>
      </c>
      <c r="H16" s="8" t="n">
        <v>50</v>
      </c>
      <c r="I16" s="9" t="n">
        <v>3280.83</v>
      </c>
      <c r="J16" s="10" t="n">
        <v>0.0047</v>
      </c>
      <c r="K16" s="7" t="s">
        <v>34</v>
      </c>
      <c r="L16" s="7"/>
    </row>
    <row r="17" customFormat="false" ht="15" hidden="false" customHeight="false" outlineLevel="0" collapsed="false">
      <c r="A17" s="6" t="n">
        <v>46281</v>
      </c>
      <c r="B17" s="7" t="s">
        <v>35</v>
      </c>
      <c r="C17" s="7" t="s">
        <v>32</v>
      </c>
      <c r="D17" s="7" t="s">
        <v>33</v>
      </c>
      <c r="E17" s="8" t="n">
        <v>6621</v>
      </c>
      <c r="F17" s="8" t="n">
        <v>266</v>
      </c>
      <c r="G17" s="9" t="n">
        <v>3059.56</v>
      </c>
      <c r="H17" s="8" t="n">
        <v>49</v>
      </c>
      <c r="I17" s="9" t="n">
        <v>3104.9</v>
      </c>
      <c r="J17" s="10" t="n">
        <v>0.0056</v>
      </c>
      <c r="K17" s="7" t="s">
        <v>34</v>
      </c>
      <c r="L17" s="7"/>
    </row>
    <row r="18" customFormat="false" ht="15" hidden="false" customHeight="false" outlineLevel="0" collapsed="false">
      <c r="A18" s="6" t="n">
        <v>46282</v>
      </c>
      <c r="B18" s="7" t="s">
        <v>36</v>
      </c>
      <c r="C18" s="7" t="s">
        <v>32</v>
      </c>
      <c r="D18" s="7" t="s">
        <v>33</v>
      </c>
      <c r="E18" s="8" t="n">
        <v>6265</v>
      </c>
      <c r="F18" s="8" t="n">
        <v>238</v>
      </c>
      <c r="G18" s="9" t="n">
        <v>2961.87</v>
      </c>
      <c r="H18" s="8" t="n">
        <v>50</v>
      </c>
      <c r="I18" s="9" t="n">
        <v>3561.4</v>
      </c>
      <c r="J18" s="10" t="n">
        <v>0.0027</v>
      </c>
      <c r="K18" s="7" t="s">
        <v>34</v>
      </c>
      <c r="L18" s="7"/>
    </row>
    <row r="19" customFormat="false" ht="15" hidden="false" customHeight="false" outlineLevel="0" collapsed="false">
      <c r="A19" s="6" t="n">
        <v>46283</v>
      </c>
      <c r="B19" s="7" t="s">
        <v>37</v>
      </c>
      <c r="C19" s="7" t="s">
        <v>32</v>
      </c>
      <c r="D19" s="7" t="s">
        <v>33</v>
      </c>
      <c r="E19" s="8" t="n">
        <v>6053</v>
      </c>
      <c r="F19" s="8" t="n">
        <v>246</v>
      </c>
      <c r="G19" s="9" t="n">
        <v>3116.27</v>
      </c>
      <c r="H19" s="8" t="n">
        <v>37</v>
      </c>
      <c r="I19" s="9" t="n">
        <v>2510.04</v>
      </c>
      <c r="J19" s="10" t="n">
        <v>0.0054</v>
      </c>
      <c r="K19" s="7" t="s">
        <v>34</v>
      </c>
      <c r="L19" s="7"/>
    </row>
    <row r="20" customFormat="false" ht="15" hidden="false" customHeight="false" outlineLevel="0" collapsed="false">
      <c r="A20" s="6" t="n">
        <v>46284</v>
      </c>
      <c r="B20" s="7" t="s">
        <v>38</v>
      </c>
      <c r="C20" s="7" t="s">
        <v>34</v>
      </c>
      <c r="D20" s="7" t="s">
        <v>33</v>
      </c>
      <c r="E20" s="8" t="n">
        <v>3110</v>
      </c>
      <c r="F20" s="8" t="n">
        <v>117</v>
      </c>
      <c r="G20" s="9" t="n">
        <v>1274.44</v>
      </c>
      <c r="H20" s="8" t="n">
        <v>14</v>
      </c>
      <c r="I20" s="9" t="n">
        <v>1033.03</v>
      </c>
      <c r="J20" s="10" t="n">
        <v>0.0021</v>
      </c>
      <c r="K20" s="7" t="s">
        <v>34</v>
      </c>
      <c r="L20" s="7"/>
    </row>
    <row r="21" customFormat="false" ht="15" hidden="false" customHeight="false" outlineLevel="0" collapsed="false">
      <c r="A21" s="6" t="n">
        <v>46285</v>
      </c>
      <c r="B21" s="7" t="s">
        <v>39</v>
      </c>
      <c r="C21" s="7" t="s">
        <v>34</v>
      </c>
      <c r="D21" s="7" t="s">
        <v>33</v>
      </c>
      <c r="E21" s="8" t="n">
        <v>2726</v>
      </c>
      <c r="F21" s="8" t="n">
        <v>106</v>
      </c>
      <c r="G21" s="9" t="n">
        <v>1181.26</v>
      </c>
      <c r="H21" s="8" t="n">
        <v>6</v>
      </c>
      <c r="I21" s="9" t="n">
        <v>385.94</v>
      </c>
      <c r="J21" s="10" t="n">
        <v>0.0003</v>
      </c>
      <c r="K21" s="7" t="s">
        <v>34</v>
      </c>
      <c r="L21" s="7"/>
    </row>
    <row r="22" customFormat="false" ht="15" hidden="false" customHeight="false" outlineLevel="0" collapsed="false">
      <c r="A22" s="6" t="n">
        <v>46286</v>
      </c>
      <c r="B22" s="7" t="s">
        <v>40</v>
      </c>
      <c r="C22" s="7" t="s">
        <v>32</v>
      </c>
      <c r="D22" s="7" t="s">
        <v>33</v>
      </c>
      <c r="E22" s="8" t="n">
        <v>6148</v>
      </c>
      <c r="F22" s="8" t="n">
        <v>226</v>
      </c>
      <c r="G22" s="9" t="n">
        <v>2790.28</v>
      </c>
      <c r="H22" s="8" t="n">
        <v>50</v>
      </c>
      <c r="I22" s="9" t="n">
        <v>3288.38</v>
      </c>
      <c r="J22" s="10" t="n">
        <v>0.0026</v>
      </c>
      <c r="K22" s="7" t="s">
        <v>34</v>
      </c>
      <c r="L22" s="7"/>
    </row>
    <row r="23" customFormat="false" ht="15" hidden="false" customHeight="false" outlineLevel="0" collapsed="false">
      <c r="A23" s="6" t="n">
        <v>46287</v>
      </c>
      <c r="B23" s="7" t="s">
        <v>31</v>
      </c>
      <c r="C23" s="7" t="s">
        <v>32</v>
      </c>
      <c r="D23" s="7" t="s">
        <v>33</v>
      </c>
      <c r="E23" s="8" t="n">
        <v>6300</v>
      </c>
      <c r="F23" s="8" t="n">
        <v>277</v>
      </c>
      <c r="G23" s="9" t="n">
        <v>3345</v>
      </c>
      <c r="H23" s="8" t="n">
        <v>61</v>
      </c>
      <c r="I23" s="9" t="n">
        <v>4152.98</v>
      </c>
      <c r="J23" s="10" t="n">
        <v>0.0021</v>
      </c>
      <c r="K23" s="7" t="s">
        <v>34</v>
      </c>
      <c r="L23" s="7"/>
    </row>
    <row r="24" customFormat="false" ht="15" hidden="false" customHeight="false" outlineLevel="0" collapsed="false">
      <c r="A24" s="6" t="n">
        <v>46288</v>
      </c>
      <c r="B24" s="7" t="s">
        <v>35</v>
      </c>
      <c r="C24" s="7" t="s">
        <v>32</v>
      </c>
      <c r="D24" s="7" t="s">
        <v>33</v>
      </c>
      <c r="E24" s="8" t="n">
        <v>5938</v>
      </c>
      <c r="F24" s="8" t="n">
        <v>248</v>
      </c>
      <c r="G24" s="9" t="n">
        <v>2991.56</v>
      </c>
      <c r="H24" s="8" t="n">
        <v>53</v>
      </c>
      <c r="I24" s="9" t="n">
        <v>3749.42</v>
      </c>
      <c r="J24" s="10" t="n">
        <v>0.0024</v>
      </c>
      <c r="K24" s="7" t="s">
        <v>34</v>
      </c>
      <c r="L24" s="7"/>
    </row>
    <row r="25" customFormat="false" ht="15" hidden="false" customHeight="false" outlineLevel="0" collapsed="false">
      <c r="A25" s="6" t="n">
        <v>46289</v>
      </c>
      <c r="B25" s="7" t="s">
        <v>36</v>
      </c>
      <c r="C25" s="7" t="s">
        <v>32</v>
      </c>
      <c r="D25" s="7" t="s">
        <v>33</v>
      </c>
      <c r="E25" s="8" t="n">
        <v>6154</v>
      </c>
      <c r="F25" s="8" t="n">
        <v>260</v>
      </c>
      <c r="G25" s="9" t="n">
        <v>3363.8</v>
      </c>
      <c r="H25" s="8" t="n">
        <v>45</v>
      </c>
      <c r="I25" s="9" t="n">
        <v>2908.4</v>
      </c>
      <c r="J25" s="10" t="n">
        <v>0.0019</v>
      </c>
      <c r="K25" s="7" t="s">
        <v>34</v>
      </c>
      <c r="L25" s="7"/>
    </row>
    <row r="26" customFormat="false" ht="15" hidden="false" customHeight="false" outlineLevel="0" collapsed="false">
      <c r="A26" s="6" t="n">
        <v>46290</v>
      </c>
      <c r="B26" s="7" t="s">
        <v>37</v>
      </c>
      <c r="C26" s="7" t="s">
        <v>32</v>
      </c>
      <c r="D26" s="7" t="s">
        <v>33</v>
      </c>
      <c r="E26" s="8" t="n">
        <v>6046</v>
      </c>
      <c r="F26" s="8" t="n">
        <v>272</v>
      </c>
      <c r="G26" s="9" t="n">
        <v>3201.09</v>
      </c>
      <c r="H26" s="8" t="n">
        <v>41</v>
      </c>
      <c r="I26" s="9" t="n">
        <v>2671.98</v>
      </c>
      <c r="J26" s="10" t="n">
        <v>0.0029</v>
      </c>
      <c r="K26" s="7" t="s">
        <v>34</v>
      </c>
      <c r="L26" s="7"/>
    </row>
    <row r="27" customFormat="false" ht="15" hidden="false" customHeight="false" outlineLevel="0" collapsed="false">
      <c r="A27" s="6" t="n">
        <v>46291</v>
      </c>
      <c r="B27" s="7" t="s">
        <v>38</v>
      </c>
      <c r="C27" s="7" t="s">
        <v>34</v>
      </c>
      <c r="D27" s="7" t="s">
        <v>33</v>
      </c>
      <c r="E27" s="8" t="n">
        <v>2759</v>
      </c>
      <c r="F27" s="8" t="n">
        <v>125</v>
      </c>
      <c r="G27" s="9" t="n">
        <v>1391.27</v>
      </c>
      <c r="H27" s="8" t="n">
        <v>14</v>
      </c>
      <c r="I27" s="9" t="n">
        <v>925.3</v>
      </c>
      <c r="J27" s="10" t="n">
        <v>0.001</v>
      </c>
      <c r="K27" s="7" t="s">
        <v>34</v>
      </c>
      <c r="L27" s="7"/>
    </row>
    <row r="28" customFormat="false" ht="15" hidden="false" customHeight="false" outlineLevel="0" collapsed="false">
      <c r="A28" s="6" t="n">
        <v>46292</v>
      </c>
      <c r="B28" s="7" t="s">
        <v>39</v>
      </c>
      <c r="C28" s="7" t="s">
        <v>34</v>
      </c>
      <c r="D28" s="7" t="s">
        <v>33</v>
      </c>
      <c r="E28" s="8" t="n">
        <v>2875</v>
      </c>
      <c r="F28" s="8" t="n">
        <v>107</v>
      </c>
      <c r="G28" s="9" t="n">
        <v>1122.42</v>
      </c>
      <c r="H28" s="8" t="n">
        <v>10</v>
      </c>
      <c r="I28" s="9" t="n">
        <v>713.2</v>
      </c>
      <c r="J28" s="10" t="n">
        <v>0.0002</v>
      </c>
      <c r="K28" s="7" t="s">
        <v>34</v>
      </c>
      <c r="L28" s="7"/>
    </row>
    <row r="29" customFormat="false" ht="15" hidden="false" customHeight="false" outlineLevel="0" collapsed="false">
      <c r="A29" s="6" t="n">
        <v>46266</v>
      </c>
      <c r="B29" s="7" t="s">
        <v>31</v>
      </c>
      <c r="C29" s="7" t="s">
        <v>32</v>
      </c>
      <c r="D29" s="7" t="s">
        <v>41</v>
      </c>
      <c r="E29" s="8" t="n">
        <v>18096</v>
      </c>
      <c r="F29" s="8" t="n">
        <v>787</v>
      </c>
      <c r="G29" s="9" t="n">
        <v>3463.71</v>
      </c>
      <c r="H29" s="8" t="n">
        <v>224</v>
      </c>
      <c r="I29" s="9" t="n">
        <v>5109.47</v>
      </c>
      <c r="J29" s="10" t="n">
        <v>0.0023</v>
      </c>
      <c r="K29" s="7" t="s">
        <v>32</v>
      </c>
      <c r="L29" s="7" t="s">
        <v>42</v>
      </c>
    </row>
    <row r="30" customFormat="false" ht="15" hidden="false" customHeight="false" outlineLevel="0" collapsed="false">
      <c r="A30" s="6" t="n">
        <v>46267</v>
      </c>
      <c r="B30" s="7" t="s">
        <v>35</v>
      </c>
      <c r="C30" s="7" t="s">
        <v>32</v>
      </c>
      <c r="D30" s="7" t="s">
        <v>41</v>
      </c>
      <c r="E30" s="8" t="n">
        <v>18073</v>
      </c>
      <c r="F30" s="8" t="n">
        <v>735</v>
      </c>
      <c r="G30" s="9" t="n">
        <v>3514</v>
      </c>
      <c r="H30" s="8" t="n">
        <v>207</v>
      </c>
      <c r="I30" s="9" t="n">
        <v>4598.94</v>
      </c>
      <c r="J30" s="10" t="n">
        <v>0.0072</v>
      </c>
      <c r="K30" s="7" t="s">
        <v>32</v>
      </c>
      <c r="L30" s="7" t="s">
        <v>42</v>
      </c>
    </row>
    <row r="31" customFormat="false" ht="15" hidden="false" customHeight="false" outlineLevel="0" collapsed="false">
      <c r="A31" s="6" t="n">
        <v>46268</v>
      </c>
      <c r="B31" s="7" t="s">
        <v>36</v>
      </c>
      <c r="C31" s="7" t="s">
        <v>32</v>
      </c>
      <c r="D31" s="7" t="s">
        <v>41</v>
      </c>
      <c r="E31" s="8" t="n">
        <v>20030</v>
      </c>
      <c r="F31" s="8" t="n">
        <v>894</v>
      </c>
      <c r="G31" s="9" t="n">
        <v>4064.6</v>
      </c>
      <c r="H31" s="8" t="n">
        <v>262</v>
      </c>
      <c r="I31" s="9" t="n">
        <v>6018.45</v>
      </c>
      <c r="J31" s="10" t="n">
        <v>0.0066</v>
      </c>
      <c r="K31" s="7" t="s">
        <v>32</v>
      </c>
      <c r="L31" s="7" t="s">
        <v>42</v>
      </c>
    </row>
    <row r="32" customFormat="false" ht="15" hidden="false" customHeight="false" outlineLevel="0" collapsed="false">
      <c r="A32" s="6" t="n">
        <v>46269</v>
      </c>
      <c r="B32" s="7" t="s">
        <v>37</v>
      </c>
      <c r="C32" s="7" t="s">
        <v>32</v>
      </c>
      <c r="D32" s="7" t="s">
        <v>41</v>
      </c>
      <c r="E32" s="8" t="n">
        <v>18134</v>
      </c>
      <c r="F32" s="8" t="n">
        <v>814</v>
      </c>
      <c r="G32" s="9" t="n">
        <v>3751.81</v>
      </c>
      <c r="H32" s="8" t="n">
        <v>228</v>
      </c>
      <c r="I32" s="9" t="n">
        <v>5510.77</v>
      </c>
      <c r="J32" s="10" t="n">
        <v>0.0094</v>
      </c>
      <c r="K32" s="7" t="s">
        <v>32</v>
      </c>
      <c r="L32" s="7" t="s">
        <v>42</v>
      </c>
    </row>
    <row r="33" customFormat="false" ht="15" hidden="false" customHeight="false" outlineLevel="0" collapsed="false">
      <c r="A33" s="6" t="n">
        <v>46270</v>
      </c>
      <c r="B33" s="7" t="s">
        <v>38</v>
      </c>
      <c r="C33" s="7" t="s">
        <v>34</v>
      </c>
      <c r="D33" s="7" t="s">
        <v>41</v>
      </c>
      <c r="E33" s="8" t="n">
        <v>16304</v>
      </c>
      <c r="F33" s="8" t="n">
        <v>726</v>
      </c>
      <c r="G33" s="9" t="n">
        <v>3434.7</v>
      </c>
      <c r="H33" s="8" t="n">
        <v>231</v>
      </c>
      <c r="I33" s="9" t="n">
        <v>5138.25</v>
      </c>
      <c r="J33" s="10" t="n">
        <v>0.0038</v>
      </c>
      <c r="K33" s="7" t="s">
        <v>32</v>
      </c>
      <c r="L33" s="7" t="s">
        <v>42</v>
      </c>
    </row>
    <row r="34" customFormat="false" ht="15" hidden="false" customHeight="false" outlineLevel="0" collapsed="false">
      <c r="A34" s="6" t="n">
        <v>46271</v>
      </c>
      <c r="B34" s="7" t="s">
        <v>39</v>
      </c>
      <c r="C34" s="7" t="s">
        <v>34</v>
      </c>
      <c r="D34" s="7" t="s">
        <v>41</v>
      </c>
      <c r="E34" s="8" t="n">
        <v>16319</v>
      </c>
      <c r="F34" s="8" t="n">
        <v>691</v>
      </c>
      <c r="G34" s="9" t="n">
        <v>3082.19</v>
      </c>
      <c r="H34" s="8" t="n">
        <v>165</v>
      </c>
      <c r="I34" s="9" t="n">
        <v>3536.16</v>
      </c>
      <c r="J34" s="10" t="n">
        <v>0.0011</v>
      </c>
      <c r="K34" s="7" t="s">
        <v>32</v>
      </c>
      <c r="L34" s="7" t="s">
        <v>42</v>
      </c>
    </row>
    <row r="35" customFormat="false" ht="15" hidden="false" customHeight="false" outlineLevel="0" collapsed="false">
      <c r="A35" s="6" t="n">
        <v>46272</v>
      </c>
      <c r="B35" s="7" t="s">
        <v>40</v>
      </c>
      <c r="C35" s="7" t="s">
        <v>32</v>
      </c>
      <c r="D35" s="7" t="s">
        <v>41</v>
      </c>
      <c r="E35" s="8" t="n">
        <v>17591</v>
      </c>
      <c r="F35" s="8" t="n">
        <v>763</v>
      </c>
      <c r="G35" s="9" t="n">
        <v>3456.74</v>
      </c>
      <c r="H35" s="8" t="n">
        <v>210</v>
      </c>
      <c r="I35" s="9" t="n">
        <v>4660.39</v>
      </c>
      <c r="J35" s="10" t="n">
        <v>0.0049</v>
      </c>
      <c r="K35" s="7" t="s">
        <v>32</v>
      </c>
      <c r="L35" s="7" t="s">
        <v>42</v>
      </c>
    </row>
    <row r="36" customFormat="false" ht="15" hidden="false" customHeight="false" outlineLevel="0" collapsed="false">
      <c r="A36" s="6" t="n">
        <v>46273</v>
      </c>
      <c r="B36" s="7" t="s">
        <v>31</v>
      </c>
      <c r="C36" s="7" t="s">
        <v>32</v>
      </c>
      <c r="D36" s="7" t="s">
        <v>41</v>
      </c>
      <c r="E36" s="8" t="n">
        <v>15218</v>
      </c>
      <c r="F36" s="8" t="n">
        <v>654</v>
      </c>
      <c r="G36" s="9" t="n">
        <v>4480.6</v>
      </c>
      <c r="H36" s="8" t="n">
        <v>204</v>
      </c>
      <c r="I36" s="9" t="n">
        <v>4821.5</v>
      </c>
      <c r="J36" s="10" t="n">
        <v>0.0034</v>
      </c>
      <c r="K36" s="7" t="s">
        <v>34</v>
      </c>
      <c r="L36" s="7"/>
    </row>
    <row r="37" customFormat="false" ht="15" hidden="false" customHeight="false" outlineLevel="0" collapsed="false">
      <c r="A37" s="6" t="n">
        <v>46274</v>
      </c>
      <c r="B37" s="7" t="s">
        <v>35</v>
      </c>
      <c r="C37" s="7" t="s">
        <v>32</v>
      </c>
      <c r="D37" s="7" t="s">
        <v>41</v>
      </c>
      <c r="E37" s="8" t="n">
        <v>15461</v>
      </c>
      <c r="F37" s="8" t="n">
        <v>717</v>
      </c>
      <c r="G37" s="9" t="n">
        <v>4449.46</v>
      </c>
      <c r="H37" s="8" t="n">
        <v>191</v>
      </c>
      <c r="I37" s="9" t="n">
        <v>4458.66</v>
      </c>
      <c r="J37" s="10" t="n">
        <v>0.0067</v>
      </c>
      <c r="K37" s="7" t="s">
        <v>34</v>
      </c>
      <c r="L37" s="7"/>
    </row>
    <row r="38" customFormat="false" ht="15" hidden="false" customHeight="false" outlineLevel="0" collapsed="false">
      <c r="A38" s="6" t="n">
        <v>46275</v>
      </c>
      <c r="B38" s="7" t="s">
        <v>36</v>
      </c>
      <c r="C38" s="7" t="s">
        <v>32</v>
      </c>
      <c r="D38" s="7" t="s">
        <v>41</v>
      </c>
      <c r="E38" s="8" t="n">
        <v>15490</v>
      </c>
      <c r="F38" s="8" t="n">
        <v>684</v>
      </c>
      <c r="G38" s="9" t="n">
        <v>4258.57</v>
      </c>
      <c r="H38" s="8" t="n">
        <v>187</v>
      </c>
      <c r="I38" s="9" t="n">
        <v>4309.93</v>
      </c>
      <c r="J38" s="10" t="n">
        <v>0.0024</v>
      </c>
      <c r="K38" s="7" t="s">
        <v>34</v>
      </c>
      <c r="L38" s="7"/>
    </row>
    <row r="39" customFormat="false" ht="15" hidden="false" customHeight="false" outlineLevel="0" collapsed="false">
      <c r="A39" s="6" t="n">
        <v>46276</v>
      </c>
      <c r="B39" s="7" t="s">
        <v>37</v>
      </c>
      <c r="C39" s="7" t="s">
        <v>32</v>
      </c>
      <c r="D39" s="7" t="s">
        <v>41</v>
      </c>
      <c r="E39" s="8" t="n">
        <v>14899</v>
      </c>
      <c r="F39" s="8" t="n">
        <v>666</v>
      </c>
      <c r="G39" s="9" t="n">
        <v>4203.18</v>
      </c>
      <c r="H39" s="8" t="n">
        <v>202</v>
      </c>
      <c r="I39" s="9" t="n">
        <v>4961.01</v>
      </c>
      <c r="J39" s="10" t="n">
        <v>0.0048</v>
      </c>
      <c r="K39" s="7" t="s">
        <v>34</v>
      </c>
      <c r="L39" s="7"/>
    </row>
    <row r="40" customFormat="false" ht="15" hidden="false" customHeight="false" outlineLevel="0" collapsed="false">
      <c r="A40" s="6" t="n">
        <v>46277</v>
      </c>
      <c r="B40" s="7" t="s">
        <v>38</v>
      </c>
      <c r="C40" s="7" t="s">
        <v>34</v>
      </c>
      <c r="D40" s="7" t="s">
        <v>41</v>
      </c>
      <c r="E40" s="8" t="n">
        <v>15016</v>
      </c>
      <c r="F40" s="8" t="n">
        <v>681</v>
      </c>
      <c r="G40" s="9" t="n">
        <v>3958.65</v>
      </c>
      <c r="H40" s="8" t="n">
        <v>202</v>
      </c>
      <c r="I40" s="9" t="n">
        <v>4672.44</v>
      </c>
      <c r="J40" s="10" t="n">
        <v>0.004</v>
      </c>
      <c r="K40" s="7" t="s">
        <v>34</v>
      </c>
      <c r="L40" s="7"/>
    </row>
    <row r="41" customFormat="false" ht="15" hidden="false" customHeight="false" outlineLevel="0" collapsed="false">
      <c r="A41" s="6" t="n">
        <v>46278</v>
      </c>
      <c r="B41" s="7" t="s">
        <v>39</v>
      </c>
      <c r="C41" s="7" t="s">
        <v>34</v>
      </c>
      <c r="D41" s="7" t="s">
        <v>41</v>
      </c>
      <c r="E41" s="8" t="n">
        <v>12886</v>
      </c>
      <c r="F41" s="8" t="n">
        <v>575</v>
      </c>
      <c r="G41" s="9" t="n">
        <v>3641.73</v>
      </c>
      <c r="H41" s="8" t="n">
        <v>170</v>
      </c>
      <c r="I41" s="9" t="n">
        <v>3746.51</v>
      </c>
      <c r="J41" s="10" t="n">
        <v>0.0051</v>
      </c>
      <c r="K41" s="7" t="s">
        <v>34</v>
      </c>
      <c r="L41" s="7"/>
    </row>
    <row r="42" customFormat="false" ht="15" hidden="false" customHeight="false" outlineLevel="0" collapsed="false">
      <c r="A42" s="6" t="n">
        <v>46279</v>
      </c>
      <c r="B42" s="7" t="s">
        <v>40</v>
      </c>
      <c r="C42" s="7" t="s">
        <v>32</v>
      </c>
      <c r="D42" s="7" t="s">
        <v>41</v>
      </c>
      <c r="E42" s="8" t="n">
        <v>15824</v>
      </c>
      <c r="F42" s="8" t="n">
        <v>727</v>
      </c>
      <c r="G42" s="9" t="n">
        <v>4272.32</v>
      </c>
      <c r="H42" s="8" t="n">
        <v>199</v>
      </c>
      <c r="I42" s="9" t="n">
        <v>4344.25</v>
      </c>
      <c r="J42" s="10" t="n">
        <v>0.0006</v>
      </c>
      <c r="K42" s="7" t="s">
        <v>34</v>
      </c>
      <c r="L42" s="7"/>
    </row>
    <row r="43" customFormat="false" ht="15" hidden="false" customHeight="false" outlineLevel="0" collapsed="false">
      <c r="A43" s="6" t="n">
        <v>46280</v>
      </c>
      <c r="B43" s="7" t="s">
        <v>31</v>
      </c>
      <c r="C43" s="7" t="s">
        <v>32</v>
      </c>
      <c r="D43" s="7" t="s">
        <v>41</v>
      </c>
      <c r="E43" s="8" t="n">
        <v>16943</v>
      </c>
      <c r="F43" s="8" t="n">
        <v>696</v>
      </c>
      <c r="G43" s="9" t="n">
        <v>4111.69</v>
      </c>
      <c r="H43" s="8" t="n">
        <v>196</v>
      </c>
      <c r="I43" s="9" t="n">
        <v>4668.81</v>
      </c>
      <c r="J43" s="10" t="n">
        <v>0.0016</v>
      </c>
      <c r="K43" s="7" t="s">
        <v>34</v>
      </c>
      <c r="L43" s="7"/>
    </row>
    <row r="44" customFormat="false" ht="15" hidden="false" customHeight="false" outlineLevel="0" collapsed="false">
      <c r="A44" s="6" t="n">
        <v>46281</v>
      </c>
      <c r="B44" s="7" t="s">
        <v>35</v>
      </c>
      <c r="C44" s="7" t="s">
        <v>32</v>
      </c>
      <c r="D44" s="7" t="s">
        <v>41</v>
      </c>
      <c r="E44" s="8" t="n">
        <v>15308</v>
      </c>
      <c r="F44" s="8" t="n">
        <v>695</v>
      </c>
      <c r="G44" s="9" t="n">
        <v>4329.09</v>
      </c>
      <c r="H44" s="8" t="n">
        <v>231</v>
      </c>
      <c r="I44" s="9" t="n">
        <v>5096.61</v>
      </c>
      <c r="J44" s="10" t="n">
        <v>0.0006</v>
      </c>
      <c r="K44" s="7" t="s">
        <v>34</v>
      </c>
      <c r="L44" s="7"/>
    </row>
    <row r="45" customFormat="false" ht="15" hidden="false" customHeight="false" outlineLevel="0" collapsed="false">
      <c r="A45" s="6" t="n">
        <v>46282</v>
      </c>
      <c r="B45" s="7" t="s">
        <v>36</v>
      </c>
      <c r="C45" s="7" t="s">
        <v>32</v>
      </c>
      <c r="D45" s="7" t="s">
        <v>41</v>
      </c>
      <c r="E45" s="8" t="n">
        <v>15675</v>
      </c>
      <c r="F45" s="8" t="n">
        <v>664</v>
      </c>
      <c r="G45" s="9" t="n">
        <v>3992.43</v>
      </c>
      <c r="H45" s="8" t="n">
        <v>194</v>
      </c>
      <c r="I45" s="9" t="n">
        <v>4447.45</v>
      </c>
      <c r="J45" s="10" t="n">
        <v>0.0037</v>
      </c>
      <c r="K45" s="7" t="s">
        <v>34</v>
      </c>
      <c r="L45" s="7"/>
    </row>
    <row r="46" customFormat="false" ht="15" hidden="false" customHeight="false" outlineLevel="0" collapsed="false">
      <c r="A46" s="6" t="n">
        <v>46283</v>
      </c>
      <c r="B46" s="7" t="s">
        <v>37</v>
      </c>
      <c r="C46" s="7" t="s">
        <v>32</v>
      </c>
      <c r="D46" s="7" t="s">
        <v>41</v>
      </c>
      <c r="E46" s="8" t="n">
        <v>14344</v>
      </c>
      <c r="F46" s="8" t="n">
        <v>612</v>
      </c>
      <c r="G46" s="9" t="n">
        <v>3663.76</v>
      </c>
      <c r="H46" s="8" t="n">
        <v>172</v>
      </c>
      <c r="I46" s="9" t="n">
        <v>3923.74</v>
      </c>
      <c r="J46" s="10" t="n">
        <v>0.0011</v>
      </c>
      <c r="K46" s="7" t="s">
        <v>34</v>
      </c>
      <c r="L46" s="7"/>
    </row>
    <row r="47" customFormat="false" ht="15" hidden="false" customHeight="false" outlineLevel="0" collapsed="false">
      <c r="A47" s="6" t="n">
        <v>46284</v>
      </c>
      <c r="B47" s="7" t="s">
        <v>38</v>
      </c>
      <c r="C47" s="7" t="s">
        <v>34</v>
      </c>
      <c r="D47" s="7" t="s">
        <v>41</v>
      </c>
      <c r="E47" s="8" t="n">
        <v>14152</v>
      </c>
      <c r="F47" s="8" t="n">
        <v>572</v>
      </c>
      <c r="G47" s="9" t="n">
        <v>3524.34</v>
      </c>
      <c r="H47" s="8" t="n">
        <v>186</v>
      </c>
      <c r="I47" s="9" t="n">
        <v>4277.09</v>
      </c>
      <c r="J47" s="10" t="n">
        <v>0.0041</v>
      </c>
      <c r="K47" s="7" t="s">
        <v>34</v>
      </c>
      <c r="L47" s="7"/>
    </row>
    <row r="48" customFormat="false" ht="15" hidden="false" customHeight="false" outlineLevel="0" collapsed="false">
      <c r="A48" s="6" t="n">
        <v>46285</v>
      </c>
      <c r="B48" s="7" t="s">
        <v>39</v>
      </c>
      <c r="C48" s="7" t="s">
        <v>34</v>
      </c>
      <c r="D48" s="7" t="s">
        <v>41</v>
      </c>
      <c r="E48" s="8" t="n">
        <v>13836</v>
      </c>
      <c r="F48" s="8" t="n">
        <v>650</v>
      </c>
      <c r="G48" s="9" t="n">
        <v>4197.08</v>
      </c>
      <c r="H48" s="8" t="n">
        <v>193</v>
      </c>
      <c r="I48" s="9" t="n">
        <v>4112.34</v>
      </c>
      <c r="J48" s="10" t="n">
        <v>0.0006</v>
      </c>
      <c r="K48" s="7" t="s">
        <v>34</v>
      </c>
      <c r="L48" s="7"/>
    </row>
    <row r="49" customFormat="false" ht="15" hidden="false" customHeight="false" outlineLevel="0" collapsed="false">
      <c r="A49" s="6" t="n">
        <v>46286</v>
      </c>
      <c r="B49" s="7" t="s">
        <v>40</v>
      </c>
      <c r="C49" s="7" t="s">
        <v>32</v>
      </c>
      <c r="D49" s="7" t="s">
        <v>41</v>
      </c>
      <c r="E49" s="8" t="n">
        <v>15773</v>
      </c>
      <c r="F49" s="8" t="n">
        <v>713</v>
      </c>
      <c r="G49" s="9" t="n">
        <v>4273.56</v>
      </c>
      <c r="H49" s="8" t="n">
        <v>217</v>
      </c>
      <c r="I49" s="9" t="n">
        <v>4982.07</v>
      </c>
      <c r="J49" s="10" t="n">
        <v>0.0001</v>
      </c>
      <c r="K49" s="7" t="s">
        <v>34</v>
      </c>
      <c r="L49" s="7"/>
    </row>
    <row r="50" customFormat="false" ht="15" hidden="false" customHeight="false" outlineLevel="0" collapsed="false">
      <c r="A50" s="6" t="n">
        <v>46287</v>
      </c>
      <c r="B50" s="7" t="s">
        <v>31</v>
      </c>
      <c r="C50" s="7" t="s">
        <v>32</v>
      </c>
      <c r="D50" s="7" t="s">
        <v>41</v>
      </c>
      <c r="E50" s="8" t="n">
        <v>14912</v>
      </c>
      <c r="F50" s="8" t="n">
        <v>589</v>
      </c>
      <c r="G50" s="9" t="n">
        <v>3627.29</v>
      </c>
      <c r="H50" s="8" t="n">
        <v>179</v>
      </c>
      <c r="I50" s="9" t="n">
        <v>4016.15</v>
      </c>
      <c r="J50" s="10" t="n">
        <v>0.0009</v>
      </c>
      <c r="K50" s="7" t="s">
        <v>34</v>
      </c>
      <c r="L50" s="7"/>
    </row>
    <row r="51" customFormat="false" ht="15" hidden="false" customHeight="false" outlineLevel="0" collapsed="false">
      <c r="A51" s="6" t="n">
        <v>46288</v>
      </c>
      <c r="B51" s="7" t="s">
        <v>35</v>
      </c>
      <c r="C51" s="7" t="s">
        <v>32</v>
      </c>
      <c r="D51" s="7" t="s">
        <v>41</v>
      </c>
      <c r="E51" s="8" t="n">
        <v>15989</v>
      </c>
      <c r="F51" s="8" t="n">
        <v>720</v>
      </c>
      <c r="G51" s="9" t="n">
        <v>4085.67</v>
      </c>
      <c r="H51" s="8" t="n">
        <v>240</v>
      </c>
      <c r="I51" s="9" t="n">
        <v>5080.66</v>
      </c>
      <c r="J51" s="10" t="n">
        <v>0.002</v>
      </c>
      <c r="K51" s="7" t="s">
        <v>34</v>
      </c>
      <c r="L51" s="7"/>
    </row>
    <row r="52" customFormat="false" ht="15" hidden="false" customHeight="false" outlineLevel="0" collapsed="false">
      <c r="A52" s="6" t="n">
        <v>46289</v>
      </c>
      <c r="B52" s="7" t="s">
        <v>36</v>
      </c>
      <c r="C52" s="7" t="s">
        <v>32</v>
      </c>
      <c r="D52" s="7" t="s">
        <v>41</v>
      </c>
      <c r="E52" s="8" t="n">
        <v>16266</v>
      </c>
      <c r="F52" s="8" t="n">
        <v>696</v>
      </c>
      <c r="G52" s="9" t="n">
        <v>4183.61</v>
      </c>
      <c r="H52" s="8" t="n">
        <v>196</v>
      </c>
      <c r="I52" s="9" t="n">
        <v>4485.39</v>
      </c>
      <c r="J52" s="10" t="n">
        <v>0.004</v>
      </c>
      <c r="K52" s="7" t="s">
        <v>34</v>
      </c>
      <c r="L52" s="7"/>
    </row>
    <row r="53" customFormat="false" ht="15" hidden="false" customHeight="false" outlineLevel="0" collapsed="false">
      <c r="A53" s="6" t="n">
        <v>46290</v>
      </c>
      <c r="B53" s="7" t="s">
        <v>37</v>
      </c>
      <c r="C53" s="7" t="s">
        <v>32</v>
      </c>
      <c r="D53" s="7" t="s">
        <v>41</v>
      </c>
      <c r="E53" s="8" t="n">
        <v>15125</v>
      </c>
      <c r="F53" s="8" t="n">
        <v>655</v>
      </c>
      <c r="G53" s="9" t="n">
        <v>3966.02</v>
      </c>
      <c r="H53" s="8" t="n">
        <v>175</v>
      </c>
      <c r="I53" s="9" t="n">
        <v>3783.07</v>
      </c>
      <c r="J53" s="10" t="n">
        <v>0.0047</v>
      </c>
      <c r="K53" s="7" t="s">
        <v>34</v>
      </c>
      <c r="L53" s="7"/>
    </row>
    <row r="54" customFormat="false" ht="15" hidden="false" customHeight="false" outlineLevel="0" collapsed="false">
      <c r="A54" s="6" t="n">
        <v>46291</v>
      </c>
      <c r="B54" s="7" t="s">
        <v>38</v>
      </c>
      <c r="C54" s="7" t="s">
        <v>34</v>
      </c>
      <c r="D54" s="7" t="s">
        <v>41</v>
      </c>
      <c r="E54" s="8" t="n">
        <v>13725</v>
      </c>
      <c r="F54" s="8" t="n">
        <v>535</v>
      </c>
      <c r="G54" s="9" t="n">
        <v>3147.09</v>
      </c>
      <c r="H54" s="8" t="n">
        <v>138</v>
      </c>
      <c r="I54" s="9" t="n">
        <v>3337.06</v>
      </c>
      <c r="J54" s="10" t="n">
        <v>0.0018</v>
      </c>
      <c r="K54" s="7" t="s">
        <v>34</v>
      </c>
      <c r="L54" s="7"/>
    </row>
    <row r="55" customFormat="false" ht="15" hidden="false" customHeight="false" outlineLevel="0" collapsed="false">
      <c r="A55" s="6" t="n">
        <v>46292</v>
      </c>
      <c r="B55" s="7" t="s">
        <v>39</v>
      </c>
      <c r="C55" s="7" t="s">
        <v>34</v>
      </c>
      <c r="D55" s="7" t="s">
        <v>41</v>
      </c>
      <c r="E55" s="8" t="n">
        <v>14558</v>
      </c>
      <c r="F55" s="8" t="n">
        <v>588</v>
      </c>
      <c r="G55" s="9" t="n">
        <v>3668.27</v>
      </c>
      <c r="H55" s="8" t="n">
        <v>172</v>
      </c>
      <c r="I55" s="9" t="n">
        <v>3771.48</v>
      </c>
      <c r="J55" s="10" t="n">
        <v>0.002</v>
      </c>
      <c r="K55" s="7" t="s">
        <v>34</v>
      </c>
      <c r="L55" s="7"/>
    </row>
    <row r="56" customFormat="false" ht="15" hidden="false" customHeight="false" outlineLevel="0" collapsed="false">
      <c r="A56" s="6" t="n">
        <v>46266</v>
      </c>
      <c r="B56" s="7" t="s">
        <v>31</v>
      </c>
      <c r="C56" s="7" t="s">
        <v>32</v>
      </c>
      <c r="D56" s="7" t="s">
        <v>43</v>
      </c>
      <c r="E56" s="8" t="n">
        <v>18892</v>
      </c>
      <c r="F56" s="8" t="n">
        <v>1136</v>
      </c>
      <c r="G56" s="9" t="n">
        <v>8763.35</v>
      </c>
      <c r="H56" s="8" t="n">
        <v>253</v>
      </c>
      <c r="I56" s="9" t="n">
        <v>11066.48</v>
      </c>
      <c r="J56" s="10" t="n">
        <v>0.0049</v>
      </c>
      <c r="K56" s="7" t="s">
        <v>32</v>
      </c>
      <c r="L56" s="7" t="s">
        <v>42</v>
      </c>
    </row>
    <row r="57" customFormat="false" ht="15" hidden="false" customHeight="false" outlineLevel="0" collapsed="false">
      <c r="A57" s="6" t="n">
        <v>46267</v>
      </c>
      <c r="B57" s="7" t="s">
        <v>35</v>
      </c>
      <c r="C57" s="7" t="s">
        <v>32</v>
      </c>
      <c r="D57" s="7" t="s">
        <v>43</v>
      </c>
      <c r="E57" s="8" t="n">
        <v>21180</v>
      </c>
      <c r="F57" s="8" t="n">
        <v>1238</v>
      </c>
      <c r="G57" s="9" t="n">
        <v>10695.22</v>
      </c>
      <c r="H57" s="8" t="n">
        <v>289</v>
      </c>
      <c r="I57" s="9" t="n">
        <v>12737.45</v>
      </c>
      <c r="J57" s="10" t="n">
        <v>0.0049</v>
      </c>
      <c r="K57" s="7" t="s">
        <v>32</v>
      </c>
      <c r="L57" s="7" t="s">
        <v>42</v>
      </c>
    </row>
    <row r="58" customFormat="false" ht="15" hidden="false" customHeight="false" outlineLevel="0" collapsed="false">
      <c r="A58" s="6" t="n">
        <v>46268</v>
      </c>
      <c r="B58" s="7" t="s">
        <v>36</v>
      </c>
      <c r="C58" s="7" t="s">
        <v>32</v>
      </c>
      <c r="D58" s="7" t="s">
        <v>43</v>
      </c>
      <c r="E58" s="8" t="n">
        <v>20966</v>
      </c>
      <c r="F58" s="8" t="n">
        <v>1219</v>
      </c>
      <c r="G58" s="9" t="n">
        <v>9941.05</v>
      </c>
      <c r="H58" s="8" t="n">
        <v>263</v>
      </c>
      <c r="I58" s="9" t="n">
        <v>11334.8</v>
      </c>
      <c r="J58" s="10" t="n">
        <v>0.0067</v>
      </c>
      <c r="K58" s="7" t="s">
        <v>32</v>
      </c>
      <c r="L58" s="7" t="s">
        <v>42</v>
      </c>
    </row>
    <row r="59" customFormat="false" ht="15" hidden="false" customHeight="false" outlineLevel="0" collapsed="false">
      <c r="A59" s="6" t="n">
        <v>46269</v>
      </c>
      <c r="B59" s="7" t="s">
        <v>37</v>
      </c>
      <c r="C59" s="7" t="s">
        <v>32</v>
      </c>
      <c r="D59" s="7" t="s">
        <v>43</v>
      </c>
      <c r="E59" s="8" t="n">
        <v>21463</v>
      </c>
      <c r="F59" s="8" t="n">
        <v>1242</v>
      </c>
      <c r="G59" s="9" t="n">
        <v>9640.22</v>
      </c>
      <c r="H59" s="8" t="n">
        <v>256</v>
      </c>
      <c r="I59" s="9" t="n">
        <v>11925.01</v>
      </c>
      <c r="J59" s="10" t="n">
        <v>0.0058</v>
      </c>
      <c r="K59" s="7" t="s">
        <v>32</v>
      </c>
      <c r="L59" s="7" t="s">
        <v>42</v>
      </c>
    </row>
    <row r="60" customFormat="false" ht="15" hidden="false" customHeight="false" outlineLevel="0" collapsed="false">
      <c r="A60" s="6" t="n">
        <v>46270</v>
      </c>
      <c r="B60" s="7" t="s">
        <v>38</v>
      </c>
      <c r="C60" s="7" t="s">
        <v>34</v>
      </c>
      <c r="D60" s="7" t="s">
        <v>43</v>
      </c>
      <c r="E60" s="8" t="n">
        <v>16451</v>
      </c>
      <c r="F60" s="8" t="n">
        <v>976</v>
      </c>
      <c r="G60" s="9" t="n">
        <v>7707.93</v>
      </c>
      <c r="H60" s="8" t="n">
        <v>224</v>
      </c>
      <c r="I60" s="9" t="n">
        <v>9597.25</v>
      </c>
      <c r="J60" s="10" t="n">
        <v>0.004</v>
      </c>
      <c r="K60" s="7" t="s">
        <v>32</v>
      </c>
      <c r="L60" s="7" t="s">
        <v>42</v>
      </c>
    </row>
    <row r="61" customFormat="false" ht="15" hidden="false" customHeight="false" outlineLevel="0" collapsed="false">
      <c r="A61" s="6" t="n">
        <v>46271</v>
      </c>
      <c r="B61" s="7" t="s">
        <v>39</v>
      </c>
      <c r="C61" s="7" t="s">
        <v>34</v>
      </c>
      <c r="D61" s="7" t="s">
        <v>43</v>
      </c>
      <c r="E61" s="8" t="n">
        <v>15384</v>
      </c>
      <c r="F61" s="8" t="n">
        <v>973</v>
      </c>
      <c r="G61" s="9" t="n">
        <v>7914.71</v>
      </c>
      <c r="H61" s="8" t="n">
        <v>203</v>
      </c>
      <c r="I61" s="9" t="n">
        <v>9471.61</v>
      </c>
      <c r="J61" s="10" t="n">
        <v>0.0009</v>
      </c>
      <c r="K61" s="7" t="s">
        <v>32</v>
      </c>
      <c r="L61" s="7" t="s">
        <v>42</v>
      </c>
    </row>
    <row r="62" customFormat="false" ht="15" hidden="false" customHeight="false" outlineLevel="0" collapsed="false">
      <c r="A62" s="6" t="n">
        <v>46272</v>
      </c>
      <c r="B62" s="7" t="s">
        <v>40</v>
      </c>
      <c r="C62" s="7" t="s">
        <v>32</v>
      </c>
      <c r="D62" s="7" t="s">
        <v>43</v>
      </c>
      <c r="E62" s="8" t="n">
        <v>20098</v>
      </c>
      <c r="F62" s="8" t="n">
        <v>1131</v>
      </c>
      <c r="G62" s="9" t="n">
        <v>8977.35</v>
      </c>
      <c r="H62" s="8" t="n">
        <v>205</v>
      </c>
      <c r="I62" s="9" t="n">
        <v>9148.33</v>
      </c>
      <c r="J62" s="10" t="n">
        <v>0.0011</v>
      </c>
      <c r="K62" s="7" t="s">
        <v>32</v>
      </c>
      <c r="L62" s="7" t="s">
        <v>42</v>
      </c>
    </row>
    <row r="63" customFormat="false" ht="15" hidden="false" customHeight="false" outlineLevel="0" collapsed="false">
      <c r="A63" s="6" t="n">
        <v>46273</v>
      </c>
      <c r="B63" s="7" t="s">
        <v>31</v>
      </c>
      <c r="C63" s="7" t="s">
        <v>32</v>
      </c>
      <c r="D63" s="7" t="s">
        <v>43</v>
      </c>
      <c r="E63" s="8" t="n">
        <v>19344</v>
      </c>
      <c r="F63" s="8" t="n">
        <v>1111</v>
      </c>
      <c r="G63" s="9" t="n">
        <v>8987.93</v>
      </c>
      <c r="H63" s="8" t="n">
        <v>284</v>
      </c>
      <c r="I63" s="9" t="n">
        <v>12553.2</v>
      </c>
      <c r="J63" s="10" t="n">
        <v>0.0009</v>
      </c>
      <c r="K63" s="7" t="s">
        <v>32</v>
      </c>
      <c r="L63" s="7" t="s">
        <v>42</v>
      </c>
    </row>
    <row r="64" customFormat="false" ht="15" hidden="false" customHeight="false" outlineLevel="0" collapsed="false">
      <c r="A64" s="6" t="n">
        <v>46274</v>
      </c>
      <c r="B64" s="7" t="s">
        <v>35</v>
      </c>
      <c r="C64" s="7" t="s">
        <v>32</v>
      </c>
      <c r="D64" s="7" t="s">
        <v>43</v>
      </c>
      <c r="E64" s="8" t="n">
        <v>26631</v>
      </c>
      <c r="F64" s="8" t="n">
        <v>1406</v>
      </c>
      <c r="G64" s="9" t="n">
        <v>11518.49</v>
      </c>
      <c r="H64" s="8" t="n">
        <v>255</v>
      </c>
      <c r="I64" s="9" t="n">
        <v>11078.4</v>
      </c>
      <c r="J64" s="10" t="n">
        <v>0.0059</v>
      </c>
      <c r="K64" s="7" t="s">
        <v>34</v>
      </c>
      <c r="L64" s="7"/>
    </row>
    <row r="65" customFormat="false" ht="15" hidden="false" customHeight="false" outlineLevel="0" collapsed="false">
      <c r="A65" s="6" t="n">
        <v>46275</v>
      </c>
      <c r="B65" s="7" t="s">
        <v>36</v>
      </c>
      <c r="C65" s="7" t="s">
        <v>32</v>
      </c>
      <c r="D65" s="7" t="s">
        <v>43</v>
      </c>
      <c r="E65" s="8" t="n">
        <v>26611</v>
      </c>
      <c r="F65" s="8" t="n">
        <v>1352</v>
      </c>
      <c r="G65" s="9" t="n">
        <v>10165.24</v>
      </c>
      <c r="H65" s="8" t="n">
        <v>252</v>
      </c>
      <c r="I65" s="9" t="n">
        <v>10910.26</v>
      </c>
      <c r="J65" s="10" t="n">
        <v>0.003</v>
      </c>
      <c r="K65" s="7" t="s">
        <v>34</v>
      </c>
      <c r="L65" s="7"/>
    </row>
    <row r="66" customFormat="false" ht="15" hidden="false" customHeight="false" outlineLevel="0" collapsed="false">
      <c r="A66" s="6" t="n">
        <v>46276</v>
      </c>
      <c r="B66" s="7" t="s">
        <v>37</v>
      </c>
      <c r="C66" s="7" t="s">
        <v>32</v>
      </c>
      <c r="D66" s="7" t="s">
        <v>43</v>
      </c>
      <c r="E66" s="8" t="n">
        <v>26269</v>
      </c>
      <c r="F66" s="8" t="n">
        <v>1483</v>
      </c>
      <c r="G66" s="9" t="n">
        <v>10964.48</v>
      </c>
      <c r="H66" s="8" t="n">
        <v>270</v>
      </c>
      <c r="I66" s="9" t="n">
        <v>11484.01</v>
      </c>
      <c r="J66" s="10" t="n">
        <v>0.0017</v>
      </c>
      <c r="K66" s="7" t="s">
        <v>34</v>
      </c>
      <c r="L66" s="7"/>
    </row>
    <row r="67" customFormat="false" ht="15" hidden="false" customHeight="false" outlineLevel="0" collapsed="false">
      <c r="A67" s="6" t="n">
        <v>46277</v>
      </c>
      <c r="B67" s="7" t="s">
        <v>38</v>
      </c>
      <c r="C67" s="7" t="s">
        <v>34</v>
      </c>
      <c r="D67" s="7" t="s">
        <v>43</v>
      </c>
      <c r="E67" s="8" t="n">
        <v>20356</v>
      </c>
      <c r="F67" s="8" t="n">
        <v>1035</v>
      </c>
      <c r="G67" s="9" t="n">
        <v>7505.32</v>
      </c>
      <c r="H67" s="8" t="n">
        <v>213</v>
      </c>
      <c r="I67" s="9" t="n">
        <v>8432.12</v>
      </c>
      <c r="J67" s="10" t="n">
        <v>0.0054</v>
      </c>
      <c r="K67" s="7" t="s">
        <v>34</v>
      </c>
      <c r="L67" s="7"/>
    </row>
    <row r="68" customFormat="false" ht="15" hidden="false" customHeight="false" outlineLevel="0" collapsed="false">
      <c r="A68" s="6" t="n">
        <v>46278</v>
      </c>
      <c r="B68" s="7" t="s">
        <v>39</v>
      </c>
      <c r="C68" s="7" t="s">
        <v>34</v>
      </c>
      <c r="D68" s="7" t="s">
        <v>43</v>
      </c>
      <c r="E68" s="8" t="n">
        <v>23671</v>
      </c>
      <c r="F68" s="8" t="n">
        <v>1247</v>
      </c>
      <c r="G68" s="9" t="n">
        <v>9945.79</v>
      </c>
      <c r="H68" s="8" t="n">
        <v>249</v>
      </c>
      <c r="I68" s="9" t="n">
        <v>10197.46</v>
      </c>
      <c r="J68" s="10" t="n">
        <v>0.0016</v>
      </c>
      <c r="K68" s="7" t="s">
        <v>34</v>
      </c>
      <c r="L68" s="7"/>
    </row>
    <row r="69" customFormat="false" ht="15" hidden="false" customHeight="false" outlineLevel="0" collapsed="false">
      <c r="A69" s="6" t="n">
        <v>46279</v>
      </c>
      <c r="B69" s="7" t="s">
        <v>40</v>
      </c>
      <c r="C69" s="7" t="s">
        <v>32</v>
      </c>
      <c r="D69" s="7" t="s">
        <v>43</v>
      </c>
      <c r="E69" s="8" t="n">
        <v>25271</v>
      </c>
      <c r="F69" s="8" t="n">
        <v>1466</v>
      </c>
      <c r="G69" s="9" t="n">
        <v>11535.22</v>
      </c>
      <c r="H69" s="8" t="n">
        <v>11</v>
      </c>
      <c r="I69" s="9" t="n">
        <v>478.73</v>
      </c>
      <c r="J69" s="10" t="n">
        <v>0.0011</v>
      </c>
      <c r="K69" s="7" t="s">
        <v>32</v>
      </c>
      <c r="L69" s="7" t="s">
        <v>44</v>
      </c>
    </row>
    <row r="70" customFormat="false" ht="15" hidden="false" customHeight="false" outlineLevel="0" collapsed="false">
      <c r="A70" s="6" t="n">
        <v>46280</v>
      </c>
      <c r="B70" s="7" t="s">
        <v>31</v>
      </c>
      <c r="C70" s="7" t="s">
        <v>32</v>
      </c>
      <c r="D70" s="7" t="s">
        <v>43</v>
      </c>
      <c r="E70" s="8" t="n">
        <v>26912</v>
      </c>
      <c r="F70" s="8" t="n">
        <v>1432</v>
      </c>
      <c r="G70" s="9" t="n">
        <v>11029.59</v>
      </c>
      <c r="H70" s="8" t="n">
        <v>6</v>
      </c>
      <c r="I70" s="9" t="n">
        <v>280.2</v>
      </c>
      <c r="J70" s="10" t="n">
        <v>0.0014</v>
      </c>
      <c r="K70" s="7" t="s">
        <v>32</v>
      </c>
      <c r="L70" s="7" t="s">
        <v>44</v>
      </c>
    </row>
    <row r="71" customFormat="false" ht="15" hidden="false" customHeight="false" outlineLevel="0" collapsed="false">
      <c r="A71" s="6" t="n">
        <v>46281</v>
      </c>
      <c r="B71" s="7" t="s">
        <v>35</v>
      </c>
      <c r="C71" s="7" t="s">
        <v>32</v>
      </c>
      <c r="D71" s="7" t="s">
        <v>43</v>
      </c>
      <c r="E71" s="8" t="n">
        <v>25125</v>
      </c>
      <c r="F71" s="8" t="n">
        <v>1306</v>
      </c>
      <c r="G71" s="9" t="n">
        <v>10232.44</v>
      </c>
      <c r="H71" s="8" t="n">
        <v>253</v>
      </c>
      <c r="I71" s="9" t="n">
        <v>11312.51</v>
      </c>
      <c r="J71" s="10" t="n">
        <v>0.0033</v>
      </c>
      <c r="K71" s="7" t="s">
        <v>34</v>
      </c>
      <c r="L71" s="7"/>
    </row>
    <row r="72" customFormat="false" ht="15" hidden="false" customHeight="false" outlineLevel="0" collapsed="false">
      <c r="A72" s="6" t="n">
        <v>46282</v>
      </c>
      <c r="B72" s="7" t="s">
        <v>36</v>
      </c>
      <c r="C72" s="7" t="s">
        <v>32</v>
      </c>
      <c r="D72" s="7" t="s">
        <v>43</v>
      </c>
      <c r="E72" s="8" t="n">
        <v>25549</v>
      </c>
      <c r="F72" s="8" t="n">
        <v>1346</v>
      </c>
      <c r="G72" s="9" t="n">
        <v>10338.71</v>
      </c>
      <c r="H72" s="8" t="n">
        <v>242</v>
      </c>
      <c r="I72" s="9" t="n">
        <v>10370.65</v>
      </c>
      <c r="J72" s="10" t="n">
        <v>0.0025</v>
      </c>
      <c r="K72" s="7" t="s">
        <v>34</v>
      </c>
      <c r="L72" s="7"/>
    </row>
    <row r="73" customFormat="false" ht="15" hidden="false" customHeight="false" outlineLevel="0" collapsed="false">
      <c r="A73" s="6" t="n">
        <v>46283</v>
      </c>
      <c r="B73" s="7" t="s">
        <v>37</v>
      </c>
      <c r="C73" s="7" t="s">
        <v>32</v>
      </c>
      <c r="D73" s="7" t="s">
        <v>43</v>
      </c>
      <c r="E73" s="8" t="n">
        <v>27626</v>
      </c>
      <c r="F73" s="8" t="n">
        <v>1439</v>
      </c>
      <c r="G73" s="9" t="n">
        <v>11238.36</v>
      </c>
      <c r="H73" s="8" t="n">
        <v>290</v>
      </c>
      <c r="I73" s="9" t="n">
        <v>12248.95</v>
      </c>
      <c r="J73" s="10" t="n">
        <v>0.0002</v>
      </c>
      <c r="K73" s="7" t="s">
        <v>34</v>
      </c>
      <c r="L73" s="7"/>
    </row>
    <row r="74" customFormat="false" ht="15" hidden="false" customHeight="false" outlineLevel="0" collapsed="false">
      <c r="A74" s="6" t="n">
        <v>46284</v>
      </c>
      <c r="B74" s="7" t="s">
        <v>38</v>
      </c>
      <c r="C74" s="7" t="s">
        <v>34</v>
      </c>
      <c r="D74" s="7" t="s">
        <v>43</v>
      </c>
      <c r="E74" s="8" t="n">
        <v>21282</v>
      </c>
      <c r="F74" s="8" t="n">
        <v>1047</v>
      </c>
      <c r="G74" s="9" t="n">
        <v>7954.19</v>
      </c>
      <c r="H74" s="8" t="n">
        <v>188</v>
      </c>
      <c r="I74" s="9" t="n">
        <v>7911.17</v>
      </c>
      <c r="J74" s="10" t="n">
        <v>0.0056</v>
      </c>
      <c r="K74" s="7" t="s">
        <v>34</v>
      </c>
      <c r="L74" s="7"/>
    </row>
    <row r="75" customFormat="false" ht="15" hidden="false" customHeight="false" outlineLevel="0" collapsed="false">
      <c r="A75" s="6" t="n">
        <v>46285</v>
      </c>
      <c r="B75" s="7" t="s">
        <v>39</v>
      </c>
      <c r="C75" s="7" t="s">
        <v>34</v>
      </c>
      <c r="D75" s="7" t="s">
        <v>43</v>
      </c>
      <c r="E75" s="8" t="n">
        <v>21546</v>
      </c>
      <c r="F75" s="8" t="n">
        <v>1190</v>
      </c>
      <c r="G75" s="9" t="n">
        <v>9291.86</v>
      </c>
      <c r="H75" s="8" t="n">
        <v>229</v>
      </c>
      <c r="I75" s="9" t="n">
        <v>10015.77</v>
      </c>
      <c r="J75" s="10" t="n">
        <v>0.0018</v>
      </c>
      <c r="K75" s="7" t="s">
        <v>34</v>
      </c>
      <c r="L75" s="7"/>
    </row>
    <row r="76" customFormat="false" ht="15" hidden="false" customHeight="false" outlineLevel="0" collapsed="false">
      <c r="A76" s="6" t="n">
        <v>46286</v>
      </c>
      <c r="B76" s="7" t="s">
        <v>40</v>
      </c>
      <c r="C76" s="7" t="s">
        <v>32</v>
      </c>
      <c r="D76" s="7" t="s">
        <v>43</v>
      </c>
      <c r="E76" s="8" t="n">
        <v>27026</v>
      </c>
      <c r="F76" s="8" t="n">
        <v>1453</v>
      </c>
      <c r="G76" s="9" t="n">
        <v>11257.32</v>
      </c>
      <c r="H76" s="8" t="n">
        <v>273</v>
      </c>
      <c r="I76" s="9" t="n">
        <v>11664.71</v>
      </c>
      <c r="J76" s="10" t="n">
        <v>0.0008</v>
      </c>
      <c r="K76" s="7" t="s">
        <v>34</v>
      </c>
      <c r="L76" s="7"/>
    </row>
    <row r="77" customFormat="false" ht="15" hidden="false" customHeight="false" outlineLevel="0" collapsed="false">
      <c r="A77" s="6" t="n">
        <v>46287</v>
      </c>
      <c r="B77" s="7" t="s">
        <v>31</v>
      </c>
      <c r="C77" s="7" t="s">
        <v>32</v>
      </c>
      <c r="D77" s="7" t="s">
        <v>43</v>
      </c>
      <c r="E77" s="8" t="n">
        <v>23517</v>
      </c>
      <c r="F77" s="8" t="n">
        <v>1297</v>
      </c>
      <c r="G77" s="9" t="n">
        <v>10233.42</v>
      </c>
      <c r="H77" s="8" t="n">
        <v>251</v>
      </c>
      <c r="I77" s="9" t="n">
        <v>10728.09</v>
      </c>
      <c r="J77" s="10" t="n">
        <v>0.0042</v>
      </c>
      <c r="K77" s="7" t="s">
        <v>34</v>
      </c>
      <c r="L77" s="7"/>
    </row>
    <row r="78" customFormat="false" ht="15" hidden="false" customHeight="false" outlineLevel="0" collapsed="false">
      <c r="A78" s="6" t="n">
        <v>46288</v>
      </c>
      <c r="B78" s="7" t="s">
        <v>35</v>
      </c>
      <c r="C78" s="7" t="s">
        <v>32</v>
      </c>
      <c r="D78" s="7" t="s">
        <v>43</v>
      </c>
      <c r="E78" s="8" t="n">
        <v>25464</v>
      </c>
      <c r="F78" s="8" t="n">
        <v>1346</v>
      </c>
      <c r="G78" s="9" t="n">
        <v>10900.53</v>
      </c>
      <c r="H78" s="8" t="n">
        <v>268</v>
      </c>
      <c r="I78" s="9" t="n">
        <v>11379.37</v>
      </c>
      <c r="J78" s="10" t="n">
        <v>0.0048</v>
      </c>
      <c r="K78" s="7" t="s">
        <v>34</v>
      </c>
      <c r="L78" s="7"/>
    </row>
    <row r="79" customFormat="false" ht="15" hidden="false" customHeight="false" outlineLevel="0" collapsed="false">
      <c r="A79" s="6" t="n">
        <v>46289</v>
      </c>
      <c r="B79" s="7" t="s">
        <v>36</v>
      </c>
      <c r="C79" s="7" t="s">
        <v>32</v>
      </c>
      <c r="D79" s="7" t="s">
        <v>43</v>
      </c>
      <c r="E79" s="8" t="n">
        <v>24997</v>
      </c>
      <c r="F79" s="8" t="n">
        <v>1431</v>
      </c>
      <c r="G79" s="9" t="n">
        <v>10902.76</v>
      </c>
      <c r="H79" s="8" t="n">
        <v>291</v>
      </c>
      <c r="I79" s="9" t="n">
        <v>12641.97</v>
      </c>
      <c r="J79" s="10" t="n">
        <v>0.0018</v>
      </c>
      <c r="K79" s="7" t="s">
        <v>34</v>
      </c>
      <c r="L79" s="7"/>
    </row>
    <row r="80" customFormat="false" ht="15" hidden="false" customHeight="false" outlineLevel="0" collapsed="false">
      <c r="A80" s="6" t="n">
        <v>46290</v>
      </c>
      <c r="B80" s="7" t="s">
        <v>37</v>
      </c>
      <c r="C80" s="7" t="s">
        <v>32</v>
      </c>
      <c r="D80" s="7" t="s">
        <v>43</v>
      </c>
      <c r="E80" s="8" t="n">
        <v>26877</v>
      </c>
      <c r="F80" s="8" t="n">
        <v>1392</v>
      </c>
      <c r="G80" s="9" t="n">
        <v>10676.72</v>
      </c>
      <c r="H80" s="8" t="n">
        <v>291</v>
      </c>
      <c r="I80" s="9" t="n">
        <v>12946.56</v>
      </c>
      <c r="J80" s="10" t="n">
        <v>0.0011</v>
      </c>
      <c r="K80" s="7" t="s">
        <v>34</v>
      </c>
      <c r="L80" s="7"/>
    </row>
    <row r="81" customFormat="false" ht="15" hidden="false" customHeight="false" outlineLevel="0" collapsed="false">
      <c r="A81" s="6" t="n">
        <v>46291</v>
      </c>
      <c r="B81" s="7" t="s">
        <v>38</v>
      </c>
      <c r="C81" s="7" t="s">
        <v>34</v>
      </c>
      <c r="D81" s="7" t="s">
        <v>43</v>
      </c>
      <c r="E81" s="8" t="n">
        <v>22356</v>
      </c>
      <c r="F81" s="8" t="n">
        <v>1027</v>
      </c>
      <c r="G81" s="9" t="n">
        <v>7849.35</v>
      </c>
      <c r="H81" s="8" t="n">
        <v>180</v>
      </c>
      <c r="I81" s="9" t="n">
        <v>7599.4</v>
      </c>
      <c r="J81" s="10" t="n">
        <v>0.001</v>
      </c>
      <c r="K81" s="7" t="s">
        <v>34</v>
      </c>
      <c r="L81" s="7"/>
    </row>
    <row r="82" customFormat="false" ht="15" hidden="false" customHeight="false" outlineLevel="0" collapsed="false">
      <c r="A82" s="6" t="n">
        <v>46292</v>
      </c>
      <c r="B82" s="7" t="s">
        <v>39</v>
      </c>
      <c r="C82" s="7" t="s">
        <v>34</v>
      </c>
      <c r="D82" s="7" t="s">
        <v>43</v>
      </c>
      <c r="E82" s="8" t="n">
        <v>19705</v>
      </c>
      <c r="F82" s="8" t="n">
        <v>995</v>
      </c>
      <c r="G82" s="9" t="n">
        <v>7994.27</v>
      </c>
      <c r="H82" s="8" t="n">
        <v>168</v>
      </c>
      <c r="I82" s="9" t="n">
        <v>6767.81</v>
      </c>
      <c r="J82" s="10" t="n">
        <v>0.0031</v>
      </c>
      <c r="K82" s="7" t="s">
        <v>34</v>
      </c>
      <c r="L82" s="7"/>
    </row>
    <row r="83" customFormat="false" ht="15" hidden="false" customHeight="false" outlineLevel="0" collapsed="false">
      <c r="A83" s="6" t="n">
        <v>46266</v>
      </c>
      <c r="B83" s="7" t="s">
        <v>31</v>
      </c>
      <c r="C83" s="7" t="s">
        <v>32</v>
      </c>
      <c r="D83" s="7" t="s">
        <v>45</v>
      </c>
      <c r="E83" s="8" t="n">
        <v>9914</v>
      </c>
      <c r="F83" s="8" t="n">
        <v>702</v>
      </c>
      <c r="G83" s="9" t="n">
        <v>2257.1</v>
      </c>
      <c r="H83" s="8" t="n">
        <v>188</v>
      </c>
      <c r="I83" s="9" t="n">
        <v>3953.09</v>
      </c>
      <c r="J83" s="10" t="n">
        <v>0.3534</v>
      </c>
      <c r="K83" s="7" t="s">
        <v>34</v>
      </c>
      <c r="L83" s="7"/>
    </row>
    <row r="84" customFormat="false" ht="15" hidden="false" customHeight="false" outlineLevel="0" collapsed="false">
      <c r="A84" s="6" t="n">
        <v>46267</v>
      </c>
      <c r="B84" s="7" t="s">
        <v>35</v>
      </c>
      <c r="C84" s="7" t="s">
        <v>32</v>
      </c>
      <c r="D84" s="7" t="s">
        <v>45</v>
      </c>
      <c r="E84" s="8" t="n">
        <v>10472</v>
      </c>
      <c r="F84" s="8" t="n">
        <v>708</v>
      </c>
      <c r="G84" s="9" t="n">
        <v>2255.26</v>
      </c>
      <c r="H84" s="8" t="n">
        <v>158</v>
      </c>
      <c r="I84" s="9" t="n">
        <v>3253.69</v>
      </c>
      <c r="J84" s="10" t="n">
        <v>0.3403</v>
      </c>
      <c r="K84" s="7" t="s">
        <v>34</v>
      </c>
      <c r="L84" s="7"/>
    </row>
    <row r="85" customFormat="false" ht="15" hidden="false" customHeight="false" outlineLevel="0" collapsed="false">
      <c r="A85" s="6" t="n">
        <v>46268</v>
      </c>
      <c r="B85" s="7" t="s">
        <v>36</v>
      </c>
      <c r="C85" s="7" t="s">
        <v>32</v>
      </c>
      <c r="D85" s="7" t="s">
        <v>45</v>
      </c>
      <c r="E85" s="8" t="n">
        <v>10083</v>
      </c>
      <c r="F85" s="8" t="n">
        <v>703</v>
      </c>
      <c r="G85" s="9" t="n">
        <v>2199.39</v>
      </c>
      <c r="H85" s="8" t="n">
        <v>201</v>
      </c>
      <c r="I85" s="9" t="n">
        <v>4246.15</v>
      </c>
      <c r="J85" s="10" t="n">
        <v>0.3426</v>
      </c>
      <c r="K85" s="7" t="s">
        <v>34</v>
      </c>
      <c r="L85" s="7"/>
    </row>
    <row r="86" customFormat="false" ht="15" hidden="false" customHeight="false" outlineLevel="0" collapsed="false">
      <c r="A86" s="6" t="n">
        <v>46269</v>
      </c>
      <c r="B86" s="7" t="s">
        <v>37</v>
      </c>
      <c r="C86" s="7" t="s">
        <v>32</v>
      </c>
      <c r="D86" s="7" t="s">
        <v>45</v>
      </c>
      <c r="E86" s="8" t="n">
        <v>9691</v>
      </c>
      <c r="F86" s="8" t="n">
        <v>752</v>
      </c>
      <c r="G86" s="9" t="n">
        <v>2495.94</v>
      </c>
      <c r="H86" s="8" t="n">
        <v>196</v>
      </c>
      <c r="I86" s="9" t="n">
        <v>4333.08</v>
      </c>
      <c r="J86" s="10" t="n">
        <v>0.4368</v>
      </c>
      <c r="K86" s="7" t="s">
        <v>34</v>
      </c>
      <c r="L86" s="7"/>
    </row>
    <row r="87" customFormat="false" ht="15" hidden="false" customHeight="false" outlineLevel="0" collapsed="false">
      <c r="A87" s="6" t="n">
        <v>46270</v>
      </c>
      <c r="B87" s="7" t="s">
        <v>38</v>
      </c>
      <c r="C87" s="7" t="s">
        <v>34</v>
      </c>
      <c r="D87" s="7" t="s">
        <v>45</v>
      </c>
      <c r="E87" s="8" t="n">
        <v>10719</v>
      </c>
      <c r="F87" s="8" t="n">
        <v>758</v>
      </c>
      <c r="G87" s="9" t="n">
        <v>2370.74</v>
      </c>
      <c r="H87" s="8" t="n">
        <v>203</v>
      </c>
      <c r="I87" s="9" t="n">
        <v>4265.11</v>
      </c>
      <c r="J87" s="10" t="n">
        <v>0.4856</v>
      </c>
      <c r="K87" s="7" t="s">
        <v>34</v>
      </c>
      <c r="L87" s="7"/>
    </row>
    <row r="88" customFormat="false" ht="15" hidden="false" customHeight="false" outlineLevel="0" collapsed="false">
      <c r="A88" s="6" t="n">
        <v>46271</v>
      </c>
      <c r="B88" s="7" t="s">
        <v>39</v>
      </c>
      <c r="C88" s="7" t="s">
        <v>34</v>
      </c>
      <c r="D88" s="7" t="s">
        <v>45</v>
      </c>
      <c r="E88" s="8" t="n">
        <v>10318</v>
      </c>
      <c r="F88" s="8" t="n">
        <v>753</v>
      </c>
      <c r="G88" s="9" t="n">
        <v>2366.23</v>
      </c>
      <c r="H88" s="8" t="n">
        <v>177</v>
      </c>
      <c r="I88" s="9" t="n">
        <v>3357.01</v>
      </c>
      <c r="J88" s="10" t="n">
        <v>0.4977</v>
      </c>
      <c r="K88" s="7" t="s">
        <v>34</v>
      </c>
      <c r="L88" s="7"/>
    </row>
    <row r="89" customFormat="false" ht="15" hidden="false" customHeight="false" outlineLevel="0" collapsed="false">
      <c r="A89" s="6" t="n">
        <v>46272</v>
      </c>
      <c r="B89" s="7" t="s">
        <v>40</v>
      </c>
      <c r="C89" s="7" t="s">
        <v>32</v>
      </c>
      <c r="D89" s="7" t="s">
        <v>45</v>
      </c>
      <c r="E89" s="8" t="n">
        <v>10122</v>
      </c>
      <c r="F89" s="8" t="n">
        <v>670</v>
      </c>
      <c r="G89" s="9" t="n">
        <v>2189.85</v>
      </c>
      <c r="H89" s="8" t="n">
        <v>179</v>
      </c>
      <c r="I89" s="9" t="n">
        <v>3845.14</v>
      </c>
      <c r="J89" s="10" t="n">
        <v>0.3427</v>
      </c>
      <c r="K89" s="7" t="s">
        <v>34</v>
      </c>
      <c r="L89" s="7"/>
    </row>
    <row r="90" customFormat="false" ht="15" hidden="false" customHeight="false" outlineLevel="0" collapsed="false">
      <c r="A90" s="6" t="n">
        <v>46273</v>
      </c>
      <c r="B90" s="7" t="s">
        <v>31</v>
      </c>
      <c r="C90" s="7" t="s">
        <v>32</v>
      </c>
      <c r="D90" s="7" t="s">
        <v>45</v>
      </c>
      <c r="E90" s="8" t="n">
        <v>9745</v>
      </c>
      <c r="F90" s="8" t="n">
        <v>715</v>
      </c>
      <c r="G90" s="9" t="n">
        <v>2284.07</v>
      </c>
      <c r="H90" s="8" t="n">
        <v>192</v>
      </c>
      <c r="I90" s="9" t="n">
        <v>3895.52</v>
      </c>
      <c r="J90" s="10" t="n">
        <v>0.3684</v>
      </c>
      <c r="K90" s="7" t="s">
        <v>34</v>
      </c>
      <c r="L90" s="7"/>
    </row>
    <row r="91" customFormat="false" ht="15" hidden="false" customHeight="false" outlineLevel="0" collapsed="false">
      <c r="A91" s="6" t="n">
        <v>46274</v>
      </c>
      <c r="B91" s="7" t="s">
        <v>35</v>
      </c>
      <c r="C91" s="7" t="s">
        <v>32</v>
      </c>
      <c r="D91" s="7" t="s">
        <v>45</v>
      </c>
      <c r="E91" s="8" t="n">
        <v>9818</v>
      </c>
      <c r="F91" s="8" t="n">
        <v>743</v>
      </c>
      <c r="G91" s="9" t="n">
        <v>2312.84</v>
      </c>
      <c r="H91" s="8" t="n">
        <v>193</v>
      </c>
      <c r="I91" s="9" t="n">
        <v>3935.64</v>
      </c>
      <c r="J91" s="10" t="n">
        <v>0.402</v>
      </c>
      <c r="K91" s="7" t="s">
        <v>34</v>
      </c>
      <c r="L91" s="7"/>
    </row>
    <row r="92" customFormat="false" ht="15" hidden="false" customHeight="false" outlineLevel="0" collapsed="false">
      <c r="A92" s="6" t="n">
        <v>46275</v>
      </c>
      <c r="B92" s="7" t="s">
        <v>36</v>
      </c>
      <c r="C92" s="7" t="s">
        <v>32</v>
      </c>
      <c r="D92" s="7" t="s">
        <v>45</v>
      </c>
      <c r="E92" s="8" t="n">
        <v>10451</v>
      </c>
      <c r="F92" s="8" t="n">
        <v>760</v>
      </c>
      <c r="G92" s="9" t="n">
        <v>2412.58</v>
      </c>
      <c r="H92" s="8" t="n">
        <v>206</v>
      </c>
      <c r="I92" s="9" t="n">
        <v>4253.89</v>
      </c>
      <c r="J92" s="10" t="n">
        <v>0.3835</v>
      </c>
      <c r="K92" s="7" t="s">
        <v>34</v>
      </c>
      <c r="L92" s="7"/>
    </row>
    <row r="93" customFormat="false" ht="15" hidden="false" customHeight="false" outlineLevel="0" collapsed="false">
      <c r="A93" s="6" t="n">
        <v>46276</v>
      </c>
      <c r="B93" s="7" t="s">
        <v>37</v>
      </c>
      <c r="C93" s="7" t="s">
        <v>32</v>
      </c>
      <c r="D93" s="7" t="s">
        <v>45</v>
      </c>
      <c r="E93" s="8" t="n">
        <v>10476</v>
      </c>
      <c r="F93" s="8" t="n">
        <v>686</v>
      </c>
      <c r="G93" s="9" t="n">
        <v>2159.53</v>
      </c>
      <c r="H93" s="8" t="n">
        <v>177</v>
      </c>
      <c r="I93" s="9" t="n">
        <v>3638.91</v>
      </c>
      <c r="J93" s="10" t="n">
        <v>0.3333</v>
      </c>
      <c r="K93" s="7" t="s">
        <v>34</v>
      </c>
      <c r="L93" s="7"/>
    </row>
    <row r="94" customFormat="false" ht="15" hidden="false" customHeight="false" outlineLevel="0" collapsed="false">
      <c r="A94" s="6" t="n">
        <v>46277</v>
      </c>
      <c r="B94" s="7" t="s">
        <v>38</v>
      </c>
      <c r="C94" s="7" t="s">
        <v>34</v>
      </c>
      <c r="D94" s="7" t="s">
        <v>45</v>
      </c>
      <c r="E94" s="8" t="n">
        <v>9552</v>
      </c>
      <c r="F94" s="8" t="n">
        <v>650</v>
      </c>
      <c r="G94" s="9" t="n">
        <v>2135.61</v>
      </c>
      <c r="H94" s="8" t="n">
        <v>170</v>
      </c>
      <c r="I94" s="9" t="n">
        <v>3768.11</v>
      </c>
      <c r="J94" s="10" t="n">
        <v>0.5434</v>
      </c>
      <c r="K94" s="7" t="s">
        <v>34</v>
      </c>
      <c r="L94" s="7"/>
    </row>
    <row r="95" customFormat="false" ht="15" hidden="false" customHeight="false" outlineLevel="0" collapsed="false">
      <c r="A95" s="6" t="n">
        <v>46278</v>
      </c>
      <c r="B95" s="7" t="s">
        <v>39</v>
      </c>
      <c r="C95" s="7" t="s">
        <v>34</v>
      </c>
      <c r="D95" s="7" t="s">
        <v>45</v>
      </c>
      <c r="E95" s="8" t="n">
        <v>9861</v>
      </c>
      <c r="F95" s="8" t="n">
        <v>682</v>
      </c>
      <c r="G95" s="9" t="n">
        <v>2223.09</v>
      </c>
      <c r="H95" s="8" t="n">
        <v>129</v>
      </c>
      <c r="I95" s="9" t="n">
        <v>2742.31</v>
      </c>
      <c r="J95" s="10" t="n">
        <v>0.4679</v>
      </c>
      <c r="K95" s="7" t="s">
        <v>34</v>
      </c>
      <c r="L95" s="7"/>
    </row>
    <row r="96" customFormat="false" ht="15" hidden="false" customHeight="false" outlineLevel="0" collapsed="false">
      <c r="A96" s="6" t="n">
        <v>46279</v>
      </c>
      <c r="B96" s="7" t="s">
        <v>40</v>
      </c>
      <c r="C96" s="7" t="s">
        <v>32</v>
      </c>
      <c r="D96" s="7" t="s">
        <v>45</v>
      </c>
      <c r="E96" s="8" t="n">
        <v>10533</v>
      </c>
      <c r="F96" s="8" t="n">
        <v>674</v>
      </c>
      <c r="G96" s="9" t="n">
        <v>2186.62</v>
      </c>
      <c r="H96" s="8" t="n">
        <v>167</v>
      </c>
      <c r="I96" s="9" t="n">
        <v>3609.73</v>
      </c>
      <c r="J96" s="10" t="n">
        <v>0.3364</v>
      </c>
      <c r="K96" s="7" t="s">
        <v>34</v>
      </c>
      <c r="L96" s="7"/>
    </row>
    <row r="97" customFormat="false" ht="15" hidden="false" customHeight="false" outlineLevel="0" collapsed="false">
      <c r="A97" s="6" t="n">
        <v>46280</v>
      </c>
      <c r="B97" s="7" t="s">
        <v>31</v>
      </c>
      <c r="C97" s="7" t="s">
        <v>32</v>
      </c>
      <c r="D97" s="7" t="s">
        <v>45</v>
      </c>
      <c r="E97" s="8" t="n">
        <v>10573</v>
      </c>
      <c r="F97" s="8" t="n">
        <v>682</v>
      </c>
      <c r="G97" s="9" t="n">
        <v>2235.19</v>
      </c>
      <c r="H97" s="8" t="n">
        <v>164</v>
      </c>
      <c r="I97" s="9" t="n">
        <v>3368.79</v>
      </c>
      <c r="J97" s="10" t="n">
        <v>0.288</v>
      </c>
      <c r="K97" s="7" t="s">
        <v>34</v>
      </c>
      <c r="L97" s="7"/>
    </row>
    <row r="98" customFormat="false" ht="15" hidden="false" customHeight="false" outlineLevel="0" collapsed="false">
      <c r="A98" s="6" t="n">
        <v>46281</v>
      </c>
      <c r="B98" s="7" t="s">
        <v>35</v>
      </c>
      <c r="C98" s="7" t="s">
        <v>32</v>
      </c>
      <c r="D98" s="7" t="s">
        <v>45</v>
      </c>
      <c r="E98" s="8" t="n">
        <v>10211</v>
      </c>
      <c r="F98" s="8" t="n">
        <v>734</v>
      </c>
      <c r="G98" s="9" t="n">
        <v>2238.36</v>
      </c>
      <c r="H98" s="8" t="n">
        <v>167</v>
      </c>
      <c r="I98" s="9" t="n">
        <v>3303.85</v>
      </c>
      <c r="J98" s="10" t="n">
        <v>0.3669</v>
      </c>
      <c r="K98" s="7" t="s">
        <v>34</v>
      </c>
      <c r="L98" s="7"/>
    </row>
    <row r="99" customFormat="false" ht="15" hidden="false" customHeight="false" outlineLevel="0" collapsed="false">
      <c r="A99" s="6" t="n">
        <v>46282</v>
      </c>
      <c r="B99" s="7" t="s">
        <v>36</v>
      </c>
      <c r="C99" s="7" t="s">
        <v>32</v>
      </c>
      <c r="D99" s="7" t="s">
        <v>45</v>
      </c>
      <c r="E99" s="8" t="n">
        <v>9854</v>
      </c>
      <c r="F99" s="8" t="n">
        <v>726</v>
      </c>
      <c r="G99" s="9" t="n">
        <v>2288.76</v>
      </c>
      <c r="H99" s="8" t="n">
        <v>178</v>
      </c>
      <c r="I99" s="9" t="n">
        <v>3789.38</v>
      </c>
      <c r="J99" s="10" t="n">
        <v>0.4122</v>
      </c>
      <c r="K99" s="7" t="s">
        <v>34</v>
      </c>
      <c r="L99" s="7"/>
    </row>
    <row r="100" customFormat="false" ht="15" hidden="false" customHeight="false" outlineLevel="0" collapsed="false">
      <c r="A100" s="6" t="n">
        <v>46283</v>
      </c>
      <c r="B100" s="7" t="s">
        <v>37</v>
      </c>
      <c r="C100" s="7" t="s">
        <v>32</v>
      </c>
      <c r="D100" s="7" t="s">
        <v>45</v>
      </c>
      <c r="E100" s="8" t="n">
        <v>11319</v>
      </c>
      <c r="F100" s="8" t="n">
        <v>716</v>
      </c>
      <c r="G100" s="9" t="n">
        <v>2217.93</v>
      </c>
      <c r="H100" s="8" t="n">
        <v>184</v>
      </c>
      <c r="I100" s="9" t="n">
        <v>3910.93</v>
      </c>
      <c r="J100" s="10" t="n">
        <v>0.2941</v>
      </c>
      <c r="K100" s="7" t="s">
        <v>34</v>
      </c>
      <c r="L100" s="7"/>
    </row>
    <row r="101" customFormat="false" ht="15" hidden="false" customHeight="false" outlineLevel="0" collapsed="false">
      <c r="A101" s="6" t="n">
        <v>46284</v>
      </c>
      <c r="B101" s="7" t="s">
        <v>38</v>
      </c>
      <c r="C101" s="7" t="s">
        <v>34</v>
      </c>
      <c r="D101" s="7" t="s">
        <v>45</v>
      </c>
      <c r="E101" s="8" t="n">
        <v>11368</v>
      </c>
      <c r="F101" s="8" t="n">
        <v>668</v>
      </c>
      <c r="G101" s="9" t="n">
        <v>2154.55</v>
      </c>
      <c r="H101" s="8" t="n">
        <v>141</v>
      </c>
      <c r="I101" s="9" t="n">
        <v>2908.15</v>
      </c>
      <c r="J101" s="10" t="n">
        <v>0.4935</v>
      </c>
      <c r="K101" s="7" t="s">
        <v>34</v>
      </c>
      <c r="L101" s="7"/>
    </row>
    <row r="102" customFormat="false" ht="15" hidden="false" customHeight="false" outlineLevel="0" collapsed="false">
      <c r="A102" s="6" t="n">
        <v>46285</v>
      </c>
      <c r="B102" s="7" t="s">
        <v>39</v>
      </c>
      <c r="C102" s="7" t="s">
        <v>34</v>
      </c>
      <c r="D102" s="7" t="s">
        <v>45</v>
      </c>
      <c r="E102" s="8" t="n">
        <v>10091</v>
      </c>
      <c r="F102" s="8" t="n">
        <v>700</v>
      </c>
      <c r="G102" s="9" t="n">
        <v>2276.19</v>
      </c>
      <c r="H102" s="8" t="n">
        <v>170</v>
      </c>
      <c r="I102" s="9" t="n">
        <v>3669.08</v>
      </c>
      <c r="J102" s="10" t="n">
        <v>0.5314</v>
      </c>
      <c r="K102" s="7" t="s">
        <v>34</v>
      </c>
      <c r="L102" s="7"/>
    </row>
    <row r="103" customFormat="false" ht="15" hidden="false" customHeight="false" outlineLevel="0" collapsed="false">
      <c r="A103" s="6" t="n">
        <v>46286</v>
      </c>
      <c r="B103" s="7" t="s">
        <v>40</v>
      </c>
      <c r="C103" s="7" t="s">
        <v>32</v>
      </c>
      <c r="D103" s="7" t="s">
        <v>45</v>
      </c>
      <c r="E103" s="8" t="n">
        <v>10104</v>
      </c>
      <c r="F103" s="8" t="n">
        <v>709</v>
      </c>
      <c r="G103" s="9" t="n">
        <v>2273.98</v>
      </c>
      <c r="H103" s="8" t="n">
        <v>177</v>
      </c>
      <c r="I103" s="9" t="n">
        <v>3682.05</v>
      </c>
      <c r="J103" s="10" t="n">
        <v>0.3734</v>
      </c>
      <c r="K103" s="7" t="s">
        <v>34</v>
      </c>
      <c r="L103" s="7"/>
    </row>
    <row r="104" customFormat="false" ht="15" hidden="false" customHeight="false" outlineLevel="0" collapsed="false">
      <c r="A104" s="6" t="n">
        <v>46287</v>
      </c>
      <c r="B104" s="7" t="s">
        <v>31</v>
      </c>
      <c r="C104" s="7" t="s">
        <v>32</v>
      </c>
      <c r="D104" s="7" t="s">
        <v>45</v>
      </c>
      <c r="E104" s="8" t="n">
        <v>10188</v>
      </c>
      <c r="F104" s="8" t="n">
        <v>689</v>
      </c>
      <c r="G104" s="9" t="n">
        <v>2255.47</v>
      </c>
      <c r="H104" s="8" t="n">
        <v>168</v>
      </c>
      <c r="I104" s="9" t="n">
        <v>3574.81</v>
      </c>
      <c r="J104" s="10" t="n">
        <v>0.3618</v>
      </c>
      <c r="K104" s="7" t="s">
        <v>34</v>
      </c>
      <c r="L104" s="7"/>
    </row>
    <row r="105" customFormat="false" ht="15" hidden="false" customHeight="false" outlineLevel="0" collapsed="false">
      <c r="A105" s="6" t="n">
        <v>46288</v>
      </c>
      <c r="B105" s="7" t="s">
        <v>35</v>
      </c>
      <c r="C105" s="7" t="s">
        <v>32</v>
      </c>
      <c r="D105" s="7" t="s">
        <v>45</v>
      </c>
      <c r="E105" s="8" t="n">
        <v>10233</v>
      </c>
      <c r="F105" s="8" t="n">
        <v>771</v>
      </c>
      <c r="G105" s="9" t="n">
        <v>2399.05</v>
      </c>
      <c r="H105" s="8" t="n">
        <v>207</v>
      </c>
      <c r="I105" s="9" t="n">
        <v>4433.28</v>
      </c>
      <c r="J105" s="10" t="n">
        <v>0.4012</v>
      </c>
      <c r="K105" s="7" t="s">
        <v>34</v>
      </c>
      <c r="L105" s="7"/>
    </row>
    <row r="106" customFormat="false" ht="15" hidden="false" customHeight="false" outlineLevel="0" collapsed="false">
      <c r="A106" s="6" t="n">
        <v>46289</v>
      </c>
      <c r="B106" s="7" t="s">
        <v>36</v>
      </c>
      <c r="C106" s="7" t="s">
        <v>32</v>
      </c>
      <c r="D106" s="7" t="s">
        <v>45</v>
      </c>
      <c r="E106" s="8" t="n">
        <v>9541</v>
      </c>
      <c r="F106" s="8" t="n">
        <v>701</v>
      </c>
      <c r="G106" s="9" t="n">
        <v>2324.84</v>
      </c>
      <c r="H106" s="8" t="n">
        <v>180</v>
      </c>
      <c r="I106" s="9" t="n">
        <v>3831.12</v>
      </c>
      <c r="J106" s="10" t="n">
        <v>0.4281</v>
      </c>
      <c r="K106" s="7" t="s">
        <v>34</v>
      </c>
      <c r="L106" s="7"/>
    </row>
    <row r="107" customFormat="false" ht="15" hidden="false" customHeight="false" outlineLevel="0" collapsed="false">
      <c r="A107" s="6" t="n">
        <v>46290</v>
      </c>
      <c r="B107" s="7" t="s">
        <v>37</v>
      </c>
      <c r="C107" s="7" t="s">
        <v>32</v>
      </c>
      <c r="D107" s="7" t="s">
        <v>45</v>
      </c>
      <c r="E107" s="8" t="n">
        <v>9766</v>
      </c>
      <c r="F107" s="8" t="n">
        <v>725</v>
      </c>
      <c r="G107" s="9" t="n">
        <v>2317.27</v>
      </c>
      <c r="H107" s="8" t="n">
        <v>207</v>
      </c>
      <c r="I107" s="9" t="n">
        <v>4258.04</v>
      </c>
      <c r="J107" s="10" t="n">
        <v>0.4027</v>
      </c>
      <c r="K107" s="7" t="s">
        <v>34</v>
      </c>
      <c r="L107" s="7"/>
    </row>
    <row r="108" customFormat="false" ht="15" hidden="false" customHeight="false" outlineLevel="0" collapsed="false">
      <c r="A108" s="6" t="n">
        <v>46291</v>
      </c>
      <c r="B108" s="7" t="s">
        <v>38</v>
      </c>
      <c r="C108" s="7" t="s">
        <v>34</v>
      </c>
      <c r="D108" s="7" t="s">
        <v>45</v>
      </c>
      <c r="E108" s="8" t="n">
        <v>9689</v>
      </c>
      <c r="F108" s="8" t="n">
        <v>647</v>
      </c>
      <c r="G108" s="9" t="n">
        <v>2206.06</v>
      </c>
      <c r="H108" s="8" t="n">
        <v>180</v>
      </c>
      <c r="I108" s="9" t="n">
        <v>3743.25</v>
      </c>
      <c r="J108" s="10" t="n">
        <v>0.518</v>
      </c>
      <c r="K108" s="7" t="s">
        <v>34</v>
      </c>
      <c r="L108" s="7"/>
    </row>
    <row r="109" customFormat="false" ht="15" hidden="false" customHeight="false" outlineLevel="0" collapsed="false">
      <c r="A109" s="6" t="n">
        <v>46292</v>
      </c>
      <c r="B109" s="7" t="s">
        <v>39</v>
      </c>
      <c r="C109" s="7" t="s">
        <v>34</v>
      </c>
      <c r="D109" s="7" t="s">
        <v>45</v>
      </c>
      <c r="E109" s="8" t="n">
        <v>10574</v>
      </c>
      <c r="F109" s="8" t="n">
        <v>682</v>
      </c>
      <c r="G109" s="9" t="n">
        <v>2141.37</v>
      </c>
      <c r="H109" s="8" t="n">
        <v>167</v>
      </c>
      <c r="I109" s="9" t="n">
        <v>3543.48</v>
      </c>
      <c r="J109" s="10" t="n">
        <v>0.4629</v>
      </c>
      <c r="K109" s="7" t="s">
        <v>34</v>
      </c>
      <c r="L10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false"/>
  </sheetPr>
  <dimension ref="A1:M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3" min="2" style="0" width="15"/>
  </cols>
  <sheetData>
    <row r="1" customFormat="false" ht="19.7" hidden="false" customHeight="false" outlineLevel="0" collapsed="false">
      <c r="A1" s="1" t="s">
        <v>46</v>
      </c>
    </row>
    <row r="2" customFormat="false" ht="15" hidden="false" customHeight="false" outlineLevel="0" collapsed="false">
      <c r="A2" s="11" t="s">
        <v>47</v>
      </c>
    </row>
    <row r="3" customFormat="false" ht="43.5" hidden="false" customHeight="true" outlineLevel="0" collapsed="false">
      <c r="A3" s="5" t="s">
        <v>22</v>
      </c>
      <c r="B3" s="5" t="s">
        <v>48</v>
      </c>
      <c r="C3" s="5" t="s">
        <v>49</v>
      </c>
      <c r="D3" s="5" t="s">
        <v>50</v>
      </c>
      <c r="E3" s="5" t="s">
        <v>51</v>
      </c>
      <c r="F3" s="5" t="s">
        <v>52</v>
      </c>
      <c r="G3" s="5" t="s">
        <v>53</v>
      </c>
      <c r="H3" s="5" t="s">
        <v>54</v>
      </c>
      <c r="I3" s="5" t="s">
        <v>55</v>
      </c>
      <c r="J3" s="5" t="s">
        <v>56</v>
      </c>
      <c r="K3" s="5" t="s">
        <v>57</v>
      </c>
      <c r="L3" s="5" t="s">
        <v>58</v>
      </c>
      <c r="M3" s="5" t="s">
        <v>59</v>
      </c>
    </row>
    <row r="4" customFormat="false" ht="15" hidden="false" customHeight="false" outlineLevel="0" collapsed="false">
      <c r="A4" s="12" t="s">
        <v>43</v>
      </c>
      <c r="B4" s="8" t="n">
        <f aca="false">COUNTIFS('Daily data (Sep)'!$D$2:$D$109,$A4,'Daily data (Sep)'!$K$2:$K$109,"Yes")</f>
        <v>17</v>
      </c>
      <c r="C4" s="13" t="n">
        <f aca="false">SUMIFS('Daily data (Sep)'!$G$2:$G$109,'Daily data (Sep)'!$D$2:$D$109,$A4,'Daily data (Sep)'!$K$2:$K$109,"Yes")/B4</f>
        <v>9939.36764705882</v>
      </c>
      <c r="D4" s="8" t="n">
        <f aca="false">SUMIFS('Daily data (Sep)'!$F$2:$F$109,'Daily data (Sep)'!$D$2:$D$109,$A4,'Daily data (Sep)'!$K$2:$K$109,"Yes")/B4</f>
        <v>1281.88235294118</v>
      </c>
      <c r="E4" s="9" t="n">
        <f aca="false">C4/D4</f>
        <v>7.75372843245228</v>
      </c>
      <c r="F4" s="10" t="n">
        <f aca="false">SUMIFS('Daily data (Sep)'!$H$2:$H$109,'Daily data (Sep)'!$D$2:$D$109,$A4,'Daily data (Sep)'!$K$2:$K$109,"Yes")/SUMIFS('Daily data (Sep)'!$F$2:$F$109,'Daily data (Sep)'!$D$2:$D$109,$A4,'Daily data (Sep)'!$K$2:$K$109,"Yes")</f>
        <v>0.191033406754772</v>
      </c>
      <c r="G4" s="9" t="n">
        <f aca="false">SUMIFS('Daily data (Sep)'!$I$2:$I$109,'Daily data (Sep)'!$D$2:$D$109,$A4,'Daily data (Sep)'!$K$2:$K$109,"Yes")/SUMIFS('Daily data (Sep)'!$H$2:$H$109,'Daily data (Sep)'!$D$2:$D$109,$A4,'Daily data (Sep)'!$K$2:$K$109,"Yes")</f>
        <v>42.6829714148451</v>
      </c>
      <c r="H4" s="9" t="n">
        <f aca="false">F4*G4</f>
        <v>8.15387343979442</v>
      </c>
      <c r="I4" s="13" t="n">
        <f aca="false">D4*H4</f>
        <v>10452.3064705882</v>
      </c>
      <c r="J4" s="14" t="n">
        <f aca="false">I4/C4</f>
        <v>1.05160678644191</v>
      </c>
      <c r="K4" s="10" t="n">
        <f aca="false">AVERAGEIFS('Daily data (Sep)'!$J$2:$J$109,'Daily data (Sep)'!$D$2:$D$109,$A4,'Daily data (Sep)'!$K$2:$K$109,"Yes")</f>
        <v>0.00281176470588235</v>
      </c>
      <c r="L4" s="15" t="n">
        <v>14000</v>
      </c>
      <c r="M4" s="16" t="n">
        <v>1.2</v>
      </c>
    </row>
    <row r="5" customFormat="false" ht="15" hidden="false" customHeight="false" outlineLevel="0" collapsed="false">
      <c r="A5" s="12" t="s">
        <v>41</v>
      </c>
      <c r="B5" s="8" t="n">
        <f aca="false">COUNTIFS('Daily data (Sep)'!$D$2:$D$109,$A5,'Daily data (Sep)'!$K$2:$K$109,"Yes")</f>
        <v>20</v>
      </c>
      <c r="C5" s="13" t="n">
        <f aca="false">SUMIFS('Daily data (Sep)'!$G$2:$G$109,'Daily data (Sep)'!$D$2:$D$109,$A5,'Daily data (Sep)'!$K$2:$K$109,"Yes")/B5</f>
        <v>4001.7205</v>
      </c>
      <c r="D5" s="8" t="n">
        <f aca="false">SUMIFS('Daily data (Sep)'!$F$2:$F$109,'Daily data (Sep)'!$D$2:$D$109,$A5,'Daily data (Sep)'!$K$2:$K$109,"Yes")/B5</f>
        <v>654.45</v>
      </c>
      <c r="E5" s="9" t="n">
        <f aca="false">C5/D5</f>
        <v>6.11463136985255</v>
      </c>
      <c r="F5" s="10" t="n">
        <f aca="false">SUMIFS('Daily data (Sep)'!$H$2:$H$109,'Daily data (Sep)'!$D$2:$D$109,$A5,'Daily data (Sep)'!$K$2:$K$109,"Yes")/SUMIFS('Daily data (Sep)'!$F$2:$F$109,'Daily data (Sep)'!$D$2:$D$109,$A5,'Daily data (Sep)'!$K$2:$K$109,"Yes")</f>
        <v>0.293681717472687</v>
      </c>
      <c r="G5" s="9" t="n">
        <f aca="false">SUMIFS('Daily data (Sep)'!$I$2:$I$109,'Daily data (Sep)'!$D$2:$D$109,$A5,'Daily data (Sep)'!$K$2:$K$109,"Yes")/SUMIFS('Daily data (Sep)'!$H$2:$H$109,'Daily data (Sep)'!$D$2:$D$109,$A5,'Daily data (Sep)'!$K$2:$K$109,"Yes")</f>
        <v>22.7097346514048</v>
      </c>
      <c r="H5" s="9" t="n">
        <f aca="false">F5*G5</f>
        <v>6.66943387577355</v>
      </c>
      <c r="I5" s="13" t="n">
        <f aca="false">D5*H5</f>
        <v>4364.811</v>
      </c>
      <c r="J5" s="14" t="n">
        <f aca="false">I5/C5</f>
        <v>1.09073359821107</v>
      </c>
      <c r="K5" s="10" t="n">
        <f aca="false">AVERAGEIFS('Daily data (Sep)'!$J$2:$J$109,'Daily data (Sep)'!$D$2:$D$109,$A5,'Daily data (Sep)'!$K$2:$K$109,"Yes")</f>
        <v>0.00271</v>
      </c>
      <c r="L5" s="15" t="n">
        <v>6000</v>
      </c>
      <c r="M5" s="16" t="n">
        <v>1.25</v>
      </c>
    </row>
    <row r="6" customFormat="false" ht="15" hidden="false" customHeight="false" outlineLevel="0" collapsed="false">
      <c r="A6" s="12" t="s">
        <v>45</v>
      </c>
      <c r="B6" s="8" t="n">
        <f aca="false">COUNTIFS('Daily data (Sep)'!$D$2:$D$109,$A6,'Daily data (Sep)'!$K$2:$K$109,"Yes")</f>
        <v>27</v>
      </c>
      <c r="C6" s="13" t="n">
        <f aca="false">SUMIFS('Daily data (Sep)'!$G$2:$G$109,'Daily data (Sep)'!$D$2:$D$109,$A6,'Daily data (Sep)'!$K$2:$K$109,"Yes")/B6</f>
        <v>2265.84703703704</v>
      </c>
      <c r="D6" s="8" t="n">
        <f aca="false">SUMIFS('Daily data (Sep)'!$F$2:$F$109,'Daily data (Sep)'!$D$2:$D$109,$A6,'Daily data (Sep)'!$K$2:$K$109,"Yes")/B6</f>
        <v>707.62962962963</v>
      </c>
      <c r="E6" s="9" t="n">
        <f aca="false">C6/D6</f>
        <v>3.20202397152727</v>
      </c>
      <c r="F6" s="10" t="n">
        <f aca="false">SUMIFS('Daily data (Sep)'!$H$2:$H$109,'Daily data (Sep)'!$D$2:$D$109,$A6,'Daily data (Sep)'!$K$2:$K$109,"Yes")/SUMIFS('Daily data (Sep)'!$F$2:$F$109,'Daily data (Sep)'!$D$2:$D$109,$A6,'Daily data (Sep)'!$K$2:$K$109,"Yes")</f>
        <v>0.252590809169894</v>
      </c>
      <c r="G6" s="9" t="n">
        <f aca="false">SUMIFS('Daily data (Sep)'!$I$2:$I$109,'Daily data (Sep)'!$D$2:$D$109,$A6,'Daily data (Sep)'!$K$2:$K$109,"Yes")/SUMIFS('Daily data (Sep)'!$H$2:$H$109,'Daily data (Sep)'!$D$2:$D$109,$A6,'Daily data (Sep)'!$K$2:$K$109,"Yes")</f>
        <v>20.9518421052632</v>
      </c>
      <c r="H6" s="9" t="n">
        <f aca="false">F6*G6</f>
        <v>5.29224275096828</v>
      </c>
      <c r="I6" s="13" t="n">
        <f aca="false">D6*H6</f>
        <v>3744.94777777778</v>
      </c>
      <c r="J6" s="14" t="n">
        <f aca="false">I6/C6</f>
        <v>1.6527804907232</v>
      </c>
      <c r="K6" s="10" t="n">
        <f aca="false">AVERAGEIFS('Daily data (Sep)'!$J$2:$J$109,'Daily data (Sep)'!$D$2:$D$109,$A6,'Daily data (Sep)'!$K$2:$K$109,"Yes")</f>
        <v>0.40622962962963</v>
      </c>
      <c r="L6" s="15" t="n">
        <v>2300</v>
      </c>
      <c r="M6" s="16" t="n">
        <v>1.3</v>
      </c>
    </row>
    <row r="7" customFormat="false" ht="15" hidden="false" customHeight="false" outlineLevel="0" collapsed="false">
      <c r="A7" s="12" t="s">
        <v>33</v>
      </c>
      <c r="B7" s="8" t="n">
        <f aca="false">COUNTIFS('Daily data (Sep)'!$D$2:$D$109,$A7,'Daily data (Sep)'!$K$2:$K$109,"Yes")</f>
        <v>27</v>
      </c>
      <c r="C7" s="13" t="n">
        <f aca="false">SUMIFS('Daily data (Sep)'!$G$2:$G$109,'Daily data (Sep)'!$D$2:$D$109,$A7,'Daily data (Sep)'!$K$2:$K$109,"Yes")/B7</f>
        <v>2378.77444444444</v>
      </c>
      <c r="D7" s="8" t="n">
        <f aca="false">SUMIFS('Daily data (Sep)'!$F$2:$F$109,'Daily data (Sep)'!$D$2:$D$109,$A7,'Daily data (Sep)'!$K$2:$K$109,"Yes")/B7</f>
        <v>198.259259259259</v>
      </c>
      <c r="E7" s="9" t="n">
        <f aca="false">C7/D7</f>
        <v>11.9983018867925</v>
      </c>
      <c r="F7" s="10" t="n">
        <f aca="false">SUMIFS('Daily data (Sep)'!$H$2:$H$109,'Daily data (Sep)'!$D$2:$D$109,$A7,'Daily data (Sep)'!$K$2:$K$109,"Yes")/SUMIFS('Daily data (Sep)'!$F$2:$F$109,'Daily data (Sep)'!$D$2:$D$109,$A7,'Daily data (Sep)'!$K$2:$K$109,"Yes")</f>
        <v>0.170184943022604</v>
      </c>
      <c r="G7" s="9" t="n">
        <f aca="false">SUMIFS('Daily data (Sep)'!$I$2:$I$109,'Daily data (Sep)'!$D$2:$D$109,$A7,'Daily data (Sep)'!$K$2:$K$109,"Yes")/SUMIFS('Daily data (Sep)'!$H$2:$H$109,'Daily data (Sep)'!$D$2:$D$109,$A7,'Daily data (Sep)'!$K$2:$K$109,"Yes")</f>
        <v>67.8104390779363</v>
      </c>
      <c r="H7" s="9" t="n">
        <f aca="false">F7*G7</f>
        <v>11.5403157108164</v>
      </c>
      <c r="I7" s="13" t="n">
        <f aca="false">D7*H7</f>
        <v>2287.97444444444</v>
      </c>
      <c r="J7" s="14" t="n">
        <f aca="false">I7/C7</f>
        <v>0.961829083790579</v>
      </c>
      <c r="K7" s="10" t="n">
        <f aca="false">AVERAGEIFS('Daily data (Sep)'!$J$2:$J$109,'Daily data (Sep)'!$D$2:$D$109,$A7,'Daily data (Sep)'!$K$2:$K$109,"Yes")</f>
        <v>0.00351481481481482</v>
      </c>
      <c r="L7" s="15" t="n">
        <v>4000</v>
      </c>
      <c r="M7" s="16" t="n">
        <v>1.25</v>
      </c>
    </row>
    <row r="9" customFormat="false" ht="15" hidden="false" customHeight="false" outlineLevel="0" collapsed="false">
      <c r="A9" s="11"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false"/>
  </sheetPr>
  <dimension ref="A1:U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21" min="3" style="0" width="14"/>
  </cols>
  <sheetData>
    <row r="1" customFormat="false" ht="19.7" hidden="false" customHeight="false" outlineLevel="0" collapsed="false">
      <c r="A1" s="1" t="s">
        <v>61</v>
      </c>
    </row>
    <row r="2" customFormat="false" ht="15" hidden="false" customHeight="false" outlineLevel="0" collapsed="false">
      <c r="A2" s="3" t="s">
        <v>62</v>
      </c>
    </row>
    <row r="3" customFormat="false" ht="15" hidden="false" customHeight="false" outlineLevel="0" collapsed="false">
      <c r="A3" s="7" t="s">
        <v>63</v>
      </c>
      <c r="B3" s="17" t="n">
        <v>0.015</v>
      </c>
      <c r="C3" s="11" t="s">
        <v>64</v>
      </c>
    </row>
    <row r="4" customFormat="false" ht="15" hidden="false" customHeight="false" outlineLevel="0" collapsed="false">
      <c r="A4" s="7" t="s">
        <v>65</v>
      </c>
      <c r="B4" s="18" t="n">
        <v>1.2</v>
      </c>
      <c r="C4" s="11" t="s">
        <v>66</v>
      </c>
    </row>
    <row r="6" customFormat="false" ht="57.75" hidden="false" customHeight="true" outlineLevel="0" collapsed="false">
      <c r="A6" s="5" t="s">
        <v>22</v>
      </c>
      <c r="B6" s="5" t="s">
        <v>67</v>
      </c>
      <c r="C6" s="5" t="s">
        <v>68</v>
      </c>
      <c r="D6" s="5" t="s">
        <v>69</v>
      </c>
      <c r="E6" s="5" t="s">
        <v>70</v>
      </c>
      <c r="F6" s="5" t="s">
        <v>71</v>
      </c>
      <c r="G6" s="5" t="s">
        <v>72</v>
      </c>
      <c r="H6" s="5" t="s">
        <v>73</v>
      </c>
      <c r="I6" s="5" t="s">
        <v>74</v>
      </c>
      <c r="J6" s="5" t="s">
        <v>75</v>
      </c>
      <c r="K6" s="5" t="s">
        <v>76</v>
      </c>
      <c r="L6" s="5" t="s">
        <v>77</v>
      </c>
      <c r="M6" s="5" t="s">
        <v>78</v>
      </c>
      <c r="N6" s="5" t="s">
        <v>79</v>
      </c>
      <c r="O6" s="5" t="s">
        <v>80</v>
      </c>
      <c r="P6" s="5" t="s">
        <v>81</v>
      </c>
      <c r="Q6" s="5" t="s">
        <v>82</v>
      </c>
      <c r="R6" s="5" t="s">
        <v>83</v>
      </c>
      <c r="S6" s="5" t="s">
        <v>84</v>
      </c>
      <c r="T6" s="5" t="s">
        <v>85</v>
      </c>
      <c r="U6" s="5" t="s">
        <v>86</v>
      </c>
    </row>
    <row r="7" customFormat="false" ht="15" hidden="false" customHeight="false" outlineLevel="0" collapsed="false">
      <c r="A7" s="12" t="s">
        <v>43</v>
      </c>
      <c r="B7" s="7" t="s">
        <v>87</v>
      </c>
      <c r="C7" s="19" t="n">
        <v>0</v>
      </c>
      <c r="D7" s="19" t="n">
        <v>0</v>
      </c>
      <c r="E7" s="19" t="n">
        <v>0</v>
      </c>
      <c r="F7" s="19" t="n">
        <v>0</v>
      </c>
      <c r="G7" s="20" t="n">
        <f aca="false">Baseline!$C$4</f>
        <v>9939.36764705882</v>
      </c>
      <c r="H7" s="21" t="n">
        <f aca="false">Baseline!$E$4</f>
        <v>7.75372843245228</v>
      </c>
      <c r="I7" s="22" t="n">
        <f aca="false">Baseline!$K$4</f>
        <v>0.00281176470588235</v>
      </c>
      <c r="J7" s="13" t="n">
        <f aca="false">G7/(1-I7)*(1+D7)</f>
        <v>9967.39361262845</v>
      </c>
      <c r="K7" s="13" t="n">
        <f aca="false">G7*(1+C7)</f>
        <v>9939.36764705882</v>
      </c>
      <c r="L7" s="13" t="n">
        <f aca="false">N7*M7</f>
        <v>9939.36764705882</v>
      </c>
      <c r="M7" s="9" t="n">
        <f aca="false">H7*(1+D7)*(1+IF(D7&lt;0,0,$B$3*MAX(0,MIN(K7,J7)/(G7*(1+D7))-1)/0.1))</f>
        <v>7.75372843245228</v>
      </c>
      <c r="N7" s="8" t="n">
        <f aca="false">IF(D7&lt;0,MIN(Baseline!$D$4*(1+$B$4*D7),K7/M7),MIN(K7,J7)/M7)</f>
        <v>1281.88235294118</v>
      </c>
      <c r="O7" s="8" t="n">
        <f aca="false">N7*Baseline!$F$4*(1+E7)</f>
        <v>244.882352941177</v>
      </c>
      <c r="P7" s="13" t="n">
        <f aca="false">O7*Baseline!$G$4*(1+F7)</f>
        <v>10452.3064705882</v>
      </c>
      <c r="Q7" s="14" t="n">
        <f aca="false">P7/L7</f>
        <v>1.05160678644191</v>
      </c>
      <c r="R7" s="13" t="n">
        <f aca="false">P7-L7</f>
        <v>512.938823529414</v>
      </c>
      <c r="S7" s="13" t="n">
        <f aca="false">R7-(Baseline!$I$4-Baseline!$C$4)</f>
        <v>0</v>
      </c>
      <c r="T7" s="23" t="str">
        <f aca="false">IF(ROUND(Q7,2)&gt;=Baseline!$M$4,"Yes","No")</f>
        <v>No</v>
      </c>
    </row>
    <row r="8" customFormat="false" ht="15" hidden="false" customHeight="false" outlineLevel="0" collapsed="false">
      <c r="A8" s="24" t="s">
        <v>43</v>
      </c>
      <c r="B8" s="25" t="s">
        <v>88</v>
      </c>
      <c r="C8" s="26" t="n">
        <v>0</v>
      </c>
      <c r="D8" s="26" t="n">
        <v>0</v>
      </c>
      <c r="E8" s="26" t="n">
        <v>0</v>
      </c>
      <c r="F8" s="26" t="n">
        <v>0</v>
      </c>
      <c r="G8" s="27" t="n">
        <f aca="false">Baseline!$C$4</f>
        <v>9939.36764705882</v>
      </c>
      <c r="H8" s="28" t="n">
        <f aca="false">Baseline!$E$4</f>
        <v>7.75372843245228</v>
      </c>
      <c r="I8" s="29" t="n">
        <f aca="false">Baseline!$K$4</f>
        <v>0.00281176470588235</v>
      </c>
      <c r="J8" s="30" t="n">
        <f aca="false">G8/(1-I8)*(1+D8)</f>
        <v>9967.39361262845</v>
      </c>
      <c r="K8" s="30" t="n">
        <f aca="false">G8*(1+C8)</f>
        <v>9939.36764705882</v>
      </c>
      <c r="L8" s="30" t="n">
        <f aca="false">N8*M8</f>
        <v>9939.36764705882</v>
      </c>
      <c r="M8" s="31" t="n">
        <f aca="false">H8*(1+D8)*(1+IF(D8&lt;0,0,$B$3*MAX(0,MIN(K8,J8)/(G8*(1+D8))-1)/0.1))</f>
        <v>7.75372843245228</v>
      </c>
      <c r="N8" s="32" t="n">
        <f aca="false">IF(D8&lt;0,MIN(Baseline!$D$4*(1+$B$4*D8),K8/M8),MIN(K8,J8)/M8)</f>
        <v>1281.88235294118</v>
      </c>
      <c r="O8" s="32" t="n">
        <f aca="false">N8*Baseline!$F$4*(1+E8)</f>
        <v>244.882352941177</v>
      </c>
      <c r="P8" s="30" t="n">
        <f aca="false">O8*Baseline!$G$4*(1+F8)</f>
        <v>10452.3064705882</v>
      </c>
      <c r="Q8" s="33" t="n">
        <f aca="false">P8/L8</f>
        <v>1.05160678644191</v>
      </c>
      <c r="R8" s="30" t="n">
        <f aca="false">P8-L8</f>
        <v>512.938823529414</v>
      </c>
      <c r="S8" s="30" t="n">
        <f aca="false">R8-(Baseline!$I$4-Baseline!$C$4)</f>
        <v>0</v>
      </c>
      <c r="T8" s="34" t="str">
        <f aca="false">IF(ROUND(Q8,2)&gt;=Baseline!$M$4,"Yes","No")</f>
        <v>No</v>
      </c>
      <c r="U8" s="14" t="str">
        <f aca="false">IF(ABS(L8-L7)&lt;0.5,"",(P8-P7)/(L8-L7))</f>
        <v/>
      </c>
    </row>
    <row r="9" customFormat="false" ht="15" hidden="false" customHeight="false" outlineLevel="0" collapsed="false">
      <c r="A9" s="12" t="s">
        <v>41</v>
      </c>
      <c r="B9" s="7" t="s">
        <v>87</v>
      </c>
      <c r="C9" s="19" t="n">
        <v>0</v>
      </c>
      <c r="D9" s="19" t="n">
        <v>0</v>
      </c>
      <c r="E9" s="19" t="n">
        <v>0</v>
      </c>
      <c r="F9" s="19" t="n">
        <v>0</v>
      </c>
      <c r="G9" s="20" t="n">
        <f aca="false">Baseline!$C$5</f>
        <v>4001.7205</v>
      </c>
      <c r="H9" s="21" t="n">
        <f aca="false">Baseline!$E$5</f>
        <v>6.11463136985255</v>
      </c>
      <c r="I9" s="22" t="n">
        <f aca="false">Baseline!$K$5</f>
        <v>0.00271</v>
      </c>
      <c r="J9" s="13" t="n">
        <f aca="false">G9/(1-I9)*(1+D9)</f>
        <v>4012.59463145123</v>
      </c>
      <c r="K9" s="13" t="n">
        <f aca="false">G9*(1+C9)</f>
        <v>4001.7205</v>
      </c>
      <c r="L9" s="13" t="n">
        <f aca="false">N9*M9</f>
        <v>4001.7205</v>
      </c>
      <c r="M9" s="9" t="n">
        <f aca="false">H9*(1+D9)*(1+IF(D9&lt;0,0,$B$3*MAX(0,MIN(K9,J9)/(G9*(1+D9))-1)/0.1))</f>
        <v>6.11463136985255</v>
      </c>
      <c r="N9" s="8" t="n">
        <f aca="false">IF(D9&lt;0,MIN(Baseline!$D$5*(1+$B$4*D9),K9/M9),MIN(K9,J9)/M9)</f>
        <v>654.45</v>
      </c>
      <c r="O9" s="8" t="n">
        <f aca="false">N9*Baseline!$F$5*(1+E9)</f>
        <v>192.2</v>
      </c>
      <c r="P9" s="13" t="n">
        <f aca="false">O9*Baseline!$G$5*(1+F9)</f>
        <v>4364.811</v>
      </c>
      <c r="Q9" s="14" t="n">
        <f aca="false">P9/L9</f>
        <v>1.09073359821107</v>
      </c>
      <c r="R9" s="13" t="n">
        <f aca="false">P9-L9</f>
        <v>363.0905</v>
      </c>
      <c r="S9" s="13" t="n">
        <f aca="false">R9-(Baseline!$I$5-Baseline!$C$5)</f>
        <v>0</v>
      </c>
      <c r="T9" s="23" t="str">
        <f aca="false">IF(ROUND(Q9,2)&gt;=Baseline!$M$5,"Yes","No")</f>
        <v>No</v>
      </c>
    </row>
    <row r="10" customFormat="false" ht="15" hidden="false" customHeight="false" outlineLevel="0" collapsed="false">
      <c r="A10" s="24" t="s">
        <v>41</v>
      </c>
      <c r="B10" s="25" t="s">
        <v>88</v>
      </c>
      <c r="C10" s="26" t="n">
        <v>0</v>
      </c>
      <c r="D10" s="26" t="n">
        <v>0</v>
      </c>
      <c r="E10" s="26" t="n">
        <v>0</v>
      </c>
      <c r="F10" s="26" t="n">
        <v>0</v>
      </c>
      <c r="G10" s="27" t="n">
        <f aca="false">Baseline!$C$5</f>
        <v>4001.7205</v>
      </c>
      <c r="H10" s="28" t="n">
        <f aca="false">Baseline!$E$5</f>
        <v>6.11463136985255</v>
      </c>
      <c r="I10" s="29" t="n">
        <f aca="false">Baseline!$K$5</f>
        <v>0.00271</v>
      </c>
      <c r="J10" s="30" t="n">
        <f aca="false">G10/(1-I10)*(1+D10)</f>
        <v>4012.59463145123</v>
      </c>
      <c r="K10" s="30" t="n">
        <f aca="false">G10*(1+C10)</f>
        <v>4001.7205</v>
      </c>
      <c r="L10" s="30" t="n">
        <f aca="false">N10*M10</f>
        <v>4001.7205</v>
      </c>
      <c r="M10" s="31" t="n">
        <f aca="false">H10*(1+D10)*(1+IF(D10&lt;0,0,$B$3*MAX(0,MIN(K10,J10)/(G10*(1+D10))-1)/0.1))</f>
        <v>6.11463136985255</v>
      </c>
      <c r="N10" s="32" t="n">
        <f aca="false">IF(D10&lt;0,MIN(Baseline!$D$5*(1+$B$4*D10),K10/M10),MIN(K10,J10)/M10)</f>
        <v>654.45</v>
      </c>
      <c r="O10" s="32" t="n">
        <f aca="false">N10*Baseline!$F$5*(1+E10)</f>
        <v>192.2</v>
      </c>
      <c r="P10" s="30" t="n">
        <f aca="false">O10*Baseline!$G$5*(1+F10)</f>
        <v>4364.811</v>
      </c>
      <c r="Q10" s="33" t="n">
        <f aca="false">P10/L10</f>
        <v>1.09073359821107</v>
      </c>
      <c r="R10" s="30" t="n">
        <f aca="false">P10-L10</f>
        <v>363.0905</v>
      </c>
      <c r="S10" s="30" t="n">
        <f aca="false">R10-(Baseline!$I$5-Baseline!$C$5)</f>
        <v>0</v>
      </c>
      <c r="T10" s="34" t="str">
        <f aca="false">IF(ROUND(Q10,2)&gt;=Baseline!$M$5,"Yes","No")</f>
        <v>No</v>
      </c>
      <c r="U10" s="14" t="str">
        <f aca="false">IF(ABS(L10-L9)&lt;0.5,"",(P10-P9)/(L10-L9))</f>
        <v/>
      </c>
    </row>
    <row r="11" customFormat="false" ht="15" hidden="false" customHeight="false" outlineLevel="0" collapsed="false">
      <c r="A11" s="12" t="s">
        <v>45</v>
      </c>
      <c r="B11" s="7" t="s">
        <v>87</v>
      </c>
      <c r="C11" s="19" t="n">
        <v>0</v>
      </c>
      <c r="D11" s="19" t="n">
        <v>0</v>
      </c>
      <c r="E11" s="19" t="n">
        <v>0</v>
      </c>
      <c r="F11" s="19" t="n">
        <v>0</v>
      </c>
      <c r="G11" s="20" t="n">
        <f aca="false">Baseline!$C$6</f>
        <v>2265.84703703704</v>
      </c>
      <c r="H11" s="21" t="n">
        <f aca="false">Baseline!$E$6</f>
        <v>3.20202397152727</v>
      </c>
      <c r="I11" s="22" t="n">
        <f aca="false">Baseline!$K$6</f>
        <v>0.40622962962963</v>
      </c>
      <c r="J11" s="13" t="n">
        <f aca="false">G11/(1-I11)*(1+D11)</f>
        <v>3816.03251038561</v>
      </c>
      <c r="K11" s="13" t="n">
        <f aca="false">G11*(1+C11)</f>
        <v>2265.84703703704</v>
      </c>
      <c r="L11" s="13" t="n">
        <f aca="false">N11*M11</f>
        <v>2265.84703703704</v>
      </c>
      <c r="M11" s="9" t="n">
        <f aca="false">H11*(1+D11)*(1+IF(D11&lt;0,0,$B$3*MAX(0,MIN(K11,J11)/(G11*(1+D11))-1)/0.1))</f>
        <v>3.20202397152727</v>
      </c>
      <c r="N11" s="8" t="n">
        <f aca="false">IF(D11&lt;0,MIN(Baseline!$D$6*(1+$B$4*D11),K11/M11),MIN(K11,J11)/M11)</f>
        <v>707.62962962963</v>
      </c>
      <c r="O11" s="8" t="n">
        <f aca="false">N11*Baseline!$F$6*(1+E11)</f>
        <v>178.740740740741</v>
      </c>
      <c r="P11" s="13" t="n">
        <f aca="false">O11*Baseline!$G$6*(1+F11)</f>
        <v>3744.94777777778</v>
      </c>
      <c r="Q11" s="14" t="n">
        <f aca="false">P11/L11</f>
        <v>1.6527804907232</v>
      </c>
      <c r="R11" s="13" t="n">
        <f aca="false">P11-L11</f>
        <v>1479.10074074074</v>
      </c>
      <c r="S11" s="13" t="n">
        <f aca="false">R11-(Baseline!$I$6-Baseline!$C$6)</f>
        <v>0</v>
      </c>
      <c r="T11" s="23" t="str">
        <f aca="false">IF(ROUND(Q11,2)&gt;=Baseline!$M$6,"Yes","No")</f>
        <v>Yes</v>
      </c>
    </row>
    <row r="12" customFormat="false" ht="15" hidden="false" customHeight="false" outlineLevel="0" collapsed="false">
      <c r="A12" s="24" t="s">
        <v>45</v>
      </c>
      <c r="B12" s="25" t="s">
        <v>88</v>
      </c>
      <c r="C12" s="26" t="n">
        <v>0</v>
      </c>
      <c r="D12" s="26" t="n">
        <v>0</v>
      </c>
      <c r="E12" s="26" t="n">
        <v>0</v>
      </c>
      <c r="F12" s="26" t="n">
        <v>0</v>
      </c>
      <c r="G12" s="27" t="n">
        <f aca="false">Baseline!$C$6</f>
        <v>2265.84703703704</v>
      </c>
      <c r="H12" s="28" t="n">
        <f aca="false">Baseline!$E$6</f>
        <v>3.20202397152727</v>
      </c>
      <c r="I12" s="29" t="n">
        <f aca="false">Baseline!$K$6</f>
        <v>0.40622962962963</v>
      </c>
      <c r="J12" s="30" t="n">
        <f aca="false">G12/(1-I12)*(1+D12)</f>
        <v>3816.03251038561</v>
      </c>
      <c r="K12" s="30" t="n">
        <f aca="false">G12*(1+C12)</f>
        <v>2265.84703703704</v>
      </c>
      <c r="L12" s="30" t="n">
        <f aca="false">N12*M12</f>
        <v>2265.84703703704</v>
      </c>
      <c r="M12" s="31" t="n">
        <f aca="false">H12*(1+D12)*(1+IF(D12&lt;0,0,$B$3*MAX(0,MIN(K12,J12)/(G12*(1+D12))-1)/0.1))</f>
        <v>3.20202397152727</v>
      </c>
      <c r="N12" s="32" t="n">
        <f aca="false">IF(D12&lt;0,MIN(Baseline!$D$6*(1+$B$4*D12),K12/M12),MIN(K12,J12)/M12)</f>
        <v>707.62962962963</v>
      </c>
      <c r="O12" s="32" t="n">
        <f aca="false">N12*Baseline!$F$6*(1+E12)</f>
        <v>178.740740740741</v>
      </c>
      <c r="P12" s="30" t="n">
        <f aca="false">O12*Baseline!$G$6*(1+F12)</f>
        <v>3744.94777777778</v>
      </c>
      <c r="Q12" s="33" t="n">
        <f aca="false">P12/L12</f>
        <v>1.6527804907232</v>
      </c>
      <c r="R12" s="30" t="n">
        <f aca="false">P12-L12</f>
        <v>1479.10074074074</v>
      </c>
      <c r="S12" s="30" t="n">
        <f aca="false">R12-(Baseline!$I$6-Baseline!$C$6)</f>
        <v>0</v>
      </c>
      <c r="T12" s="34" t="str">
        <f aca="false">IF(ROUND(Q12,2)&gt;=Baseline!$M$6,"Yes","No")</f>
        <v>Yes</v>
      </c>
      <c r="U12" s="14" t="str">
        <f aca="false">IF(ABS(L12-L11)&lt;0.5,"",(P12-P11)/(L12-L11))</f>
        <v/>
      </c>
    </row>
    <row r="13" customFormat="false" ht="15" hidden="false" customHeight="false" outlineLevel="0" collapsed="false">
      <c r="A13" s="12" t="s">
        <v>33</v>
      </c>
      <c r="B13" s="7" t="s">
        <v>87</v>
      </c>
      <c r="C13" s="19" t="n">
        <v>0</v>
      </c>
      <c r="D13" s="19" t="n">
        <v>0</v>
      </c>
      <c r="E13" s="19" t="n">
        <v>0</v>
      </c>
      <c r="F13" s="19" t="n">
        <v>0</v>
      </c>
      <c r="G13" s="20" t="n">
        <f aca="false">Baseline!$C$7</f>
        <v>2378.77444444444</v>
      </c>
      <c r="H13" s="21" t="n">
        <f aca="false">Baseline!$E$7</f>
        <v>11.9983018867925</v>
      </c>
      <c r="I13" s="22" t="n">
        <f aca="false">Baseline!$K$7</f>
        <v>0.00351481481481482</v>
      </c>
      <c r="J13" s="13" t="n">
        <f aca="false">G13/(1-I13)*(1+D13)</f>
        <v>2387.16488695452</v>
      </c>
      <c r="K13" s="13" t="n">
        <f aca="false">G13*(1+C13)</f>
        <v>2378.77444444444</v>
      </c>
      <c r="L13" s="13" t="n">
        <f aca="false">N13*M13</f>
        <v>2378.77444444444</v>
      </c>
      <c r="M13" s="9" t="n">
        <f aca="false">H13*(1+D13)*(1+IF(D13&lt;0,0,$B$3*MAX(0,MIN(K13,J13)/(G13*(1+D13))-1)/0.1))</f>
        <v>11.9983018867925</v>
      </c>
      <c r="N13" s="8" t="n">
        <f aca="false">IF(D13&lt;0,MIN(Baseline!$D$7*(1+$B$4*D13),K13/M13),MIN(K13,J13)/M13)</f>
        <v>198.259259259259</v>
      </c>
      <c r="O13" s="8" t="n">
        <f aca="false">N13*Baseline!$F$7*(1+E13)</f>
        <v>33.7407407407407</v>
      </c>
      <c r="P13" s="13" t="n">
        <f aca="false">O13*Baseline!$G$7*(1+F13)</f>
        <v>2287.97444444444</v>
      </c>
      <c r="Q13" s="14" t="n">
        <f aca="false">P13/L13</f>
        <v>0.961829083790579</v>
      </c>
      <c r="R13" s="13" t="n">
        <f aca="false">P13-L13</f>
        <v>-90.8000000000002</v>
      </c>
      <c r="S13" s="13" t="n">
        <f aca="false">R13-(Baseline!$I$7-Baseline!$C$7)</f>
        <v>0</v>
      </c>
      <c r="T13" s="23" t="str">
        <f aca="false">IF(ROUND(Q13,2)&gt;=Baseline!$M$7,"Yes","No")</f>
        <v>No</v>
      </c>
    </row>
    <row r="14" customFormat="false" ht="15" hidden="false" customHeight="false" outlineLevel="0" collapsed="false">
      <c r="A14" s="24" t="s">
        <v>33</v>
      </c>
      <c r="B14" s="25" t="s">
        <v>88</v>
      </c>
      <c r="C14" s="26" t="n">
        <v>0</v>
      </c>
      <c r="D14" s="26" t="n">
        <v>0</v>
      </c>
      <c r="E14" s="26" t="n">
        <v>0</v>
      </c>
      <c r="F14" s="26" t="n">
        <v>0</v>
      </c>
      <c r="G14" s="27" t="n">
        <f aca="false">Baseline!$C$7</f>
        <v>2378.77444444444</v>
      </c>
      <c r="H14" s="28" t="n">
        <f aca="false">Baseline!$E$7</f>
        <v>11.9983018867925</v>
      </c>
      <c r="I14" s="29" t="n">
        <f aca="false">Baseline!$K$7</f>
        <v>0.00351481481481482</v>
      </c>
      <c r="J14" s="30" t="n">
        <f aca="false">G14/(1-I14)*(1+D14)</f>
        <v>2387.16488695452</v>
      </c>
      <c r="K14" s="30" t="n">
        <f aca="false">G14*(1+C14)</f>
        <v>2378.77444444444</v>
      </c>
      <c r="L14" s="30" t="n">
        <f aca="false">N14*M14</f>
        <v>2378.77444444444</v>
      </c>
      <c r="M14" s="31" t="n">
        <f aca="false">H14*(1+D14)*(1+IF(D14&lt;0,0,$B$3*MAX(0,MIN(K14,J14)/(G14*(1+D14))-1)/0.1))</f>
        <v>11.9983018867925</v>
      </c>
      <c r="N14" s="32" t="n">
        <f aca="false">IF(D14&lt;0,MIN(Baseline!$D$7*(1+$B$4*D14),K14/M14),MIN(K14,J14)/M14)</f>
        <v>198.259259259259</v>
      </c>
      <c r="O14" s="32" t="n">
        <f aca="false">N14*Baseline!$F$7*(1+E14)</f>
        <v>33.7407407407407</v>
      </c>
      <c r="P14" s="30" t="n">
        <f aca="false">O14*Baseline!$G$7*(1+F14)</f>
        <v>2287.97444444444</v>
      </c>
      <c r="Q14" s="33" t="n">
        <f aca="false">P14/L14</f>
        <v>0.961829083790579</v>
      </c>
      <c r="R14" s="30" t="n">
        <f aca="false">P14-L14</f>
        <v>-90.8000000000002</v>
      </c>
      <c r="S14" s="30" t="n">
        <f aca="false">R14-(Baseline!$I$7-Baseline!$C$7)</f>
        <v>0</v>
      </c>
      <c r="T14" s="34" t="str">
        <f aca="false">IF(ROUND(Q14,2)&gt;=Baseline!$M$7,"Yes","No")</f>
        <v>No</v>
      </c>
      <c r="U14" s="14" t="str">
        <f aca="false">IF(ABS(L14-L13)&lt;0.5,"",(P14-P13)/(L14-L13))</f>
        <v/>
      </c>
    </row>
    <row r="16" customFormat="false" ht="15" hidden="false" customHeight="false" outlineLevel="0" collapsed="false">
      <c r="A16" s="3" t="s">
        <v>89</v>
      </c>
    </row>
    <row r="17" customFormat="false" ht="15" hidden="false" customHeight="false" outlineLevel="0" collapsed="false">
      <c r="A17" s="7" t="s">
        <v>90</v>
      </c>
    </row>
    <row r="18" customFormat="false" ht="15" hidden="false" customHeight="false" outlineLevel="0" collapsed="false">
      <c r="A18" s="7" t="s">
        <v>91</v>
      </c>
    </row>
    <row r="19" customFormat="false" ht="15" hidden="false" customHeight="false" outlineLevel="0" collapsed="false">
      <c r="A19" s="7" t="s">
        <v>92</v>
      </c>
    </row>
    <row r="20" customFormat="false" ht="15" hidden="false" customHeight="false" outlineLevel="0" collapsed="false">
      <c r="A20" s="7" t="s">
        <v>93</v>
      </c>
    </row>
    <row r="21" customFormat="false" ht="15" hidden="false" customHeight="false" outlineLevel="0" collapsed="false">
      <c r="A21" s="7" t="s">
        <v>94</v>
      </c>
    </row>
    <row r="22" customFormat="false" ht="15" hidden="false" customHeight="false" outlineLevel="0" collapsed="false">
      <c r="A22" s="7" t="s">
        <v>95</v>
      </c>
    </row>
    <row r="24" customFormat="false" ht="15" hidden="false" customHeight="false" outlineLevel="0" collapsed="false">
      <c r="A24" s="3" t="s">
        <v>96</v>
      </c>
    </row>
    <row r="25" customFormat="false" ht="15" hidden="false" customHeight="false" outlineLevel="0" collapsed="false">
      <c r="A25" s="7" t="s">
        <v>97</v>
      </c>
      <c r="B25" s="35"/>
    </row>
    <row r="26" customFormat="false" ht="15" hidden="false" customHeight="false" outlineLevel="0" collapsed="false">
      <c r="A26" s="7" t="s">
        <v>98</v>
      </c>
      <c r="B26" s="35"/>
    </row>
    <row r="27" customFormat="false" ht="15" hidden="false" customHeight="false" outlineLevel="0" collapsed="false">
      <c r="A27" s="7" t="s">
        <v>99</v>
      </c>
      <c r="B27" s="36" t="n">
        <v>27</v>
      </c>
    </row>
    <row r="28" customFormat="false" ht="15" hidden="false" customHeight="false" outlineLevel="0" collapsed="false">
      <c r="A28" s="7" t="s">
        <v>100</v>
      </c>
      <c r="B28" s="17"/>
    </row>
    <row r="29" customFormat="false" ht="15" hidden="false" customHeight="false" outlineLevel="0" collapsed="false">
      <c r="A29" s="7" t="s">
        <v>101</v>
      </c>
      <c r="B29" s="13" t="n">
        <f aca="false">ABS(N(B28))*G7</f>
        <v>0</v>
      </c>
    </row>
    <row r="30" customFormat="false" ht="15" hidden="false" customHeight="false" outlineLevel="0" collapsed="false">
      <c r="A30" s="7" t="s">
        <v>102</v>
      </c>
      <c r="B30" s="13" t="n">
        <f aca="false">MIN(B29,N(B25)/B27)</f>
        <v>0</v>
      </c>
    </row>
    <row r="31" customFormat="false" ht="15" hidden="false" customHeight="false" outlineLevel="0" collapsed="false">
      <c r="A31" s="7" t="s">
        <v>103</v>
      </c>
      <c r="B31" s="13" t="n">
        <f aca="false">IF(N(B25)&gt;0,N(B26)*B30/B25,0)</f>
        <v>0</v>
      </c>
    </row>
    <row r="32" customFormat="false" ht="15" hidden="false" customHeight="false" outlineLevel="0" collapsed="false">
      <c r="A32" s="7" t="s">
        <v>104</v>
      </c>
      <c r="B32" s="13" t="n">
        <f aca="false">B29-B30</f>
        <v>0</v>
      </c>
    </row>
    <row r="33" customFormat="false" ht="15" hidden="false" customHeight="false" outlineLevel="0" collapsed="false">
      <c r="A33" s="7" t="s">
        <v>105</v>
      </c>
      <c r="B33" s="13" t="n">
        <f aca="false">B32*Baseline!$J$4</f>
        <v>0</v>
      </c>
    </row>
    <row r="34" customFormat="false" ht="15" hidden="false" customHeight="false" outlineLevel="0" collapsed="false">
      <c r="A34" s="7" t="s">
        <v>106</v>
      </c>
      <c r="B34" s="13" t="n">
        <f aca="false">B31+B33</f>
        <v>0</v>
      </c>
    </row>
    <row r="35" customFormat="false" ht="15" hidden="false" customHeight="false" outlineLevel="0" collapsed="false">
      <c r="A35" s="7" t="s">
        <v>107</v>
      </c>
      <c r="B35" s="13" t="n">
        <f aca="false">B29*Baseline!$J$4</f>
        <v>0</v>
      </c>
    </row>
    <row r="36" customFormat="false" ht="15" hidden="false" customHeight="false" outlineLevel="0" collapsed="false">
      <c r="A36" s="7" t="s">
        <v>108</v>
      </c>
      <c r="B36" s="13" t="n">
        <f aca="false">B35-B34</f>
        <v>0</v>
      </c>
    </row>
    <row r="37" customFormat="false" ht="15" hidden="false" customHeight="false" outlineLevel="0" collapsed="false">
      <c r="A37" s="11"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fals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6"/>
    <col collapsed="false" customWidth="true" hidden="false" outlineLevel="0" max="10" min="3" style="0" width="16"/>
  </cols>
  <sheetData>
    <row r="1" customFormat="false" ht="19.7" hidden="false" customHeight="false" outlineLevel="0" collapsed="false">
      <c r="A1" s="1" t="s">
        <v>110</v>
      </c>
    </row>
    <row r="2" customFormat="false" ht="15" hidden="false" customHeight="false" outlineLevel="0" collapsed="false">
      <c r="A2" s="12" t="s">
        <v>22</v>
      </c>
      <c r="B2" s="37"/>
      <c r="D2" s="11" t="s">
        <v>111</v>
      </c>
    </row>
    <row r="4" customFormat="false" ht="39.75" hidden="false" customHeight="true" outlineLevel="0" collapsed="false">
      <c r="A4" s="5" t="s">
        <v>112</v>
      </c>
      <c r="B4" s="5" t="s">
        <v>113</v>
      </c>
      <c r="C4" s="5" t="s">
        <v>49</v>
      </c>
      <c r="D4" s="5" t="s">
        <v>50</v>
      </c>
      <c r="E4" s="5" t="s">
        <v>52</v>
      </c>
      <c r="F4" s="5" t="s">
        <v>55</v>
      </c>
      <c r="G4" s="5" t="s">
        <v>56</v>
      </c>
      <c r="H4" s="5" t="s">
        <v>114</v>
      </c>
      <c r="I4" s="5" t="s">
        <v>115</v>
      </c>
      <c r="J4" s="5" t="s">
        <v>116</v>
      </c>
    </row>
    <row r="5" customFormat="false" ht="15" hidden="false" customHeight="false" outlineLevel="0" collapsed="false">
      <c r="A5" s="12" t="s">
        <v>117</v>
      </c>
      <c r="B5" s="8" t="str">
        <f aca="false">IF($B$2="","",COUNTIFS('Daily data (Sep)'!$D$2:$D$109,$B$2,'Daily data (Sep)'!$C$2:$C$109,"No",'Daily data (Sep)'!$K$2:$K$109,"Yes"))</f>
        <v/>
      </c>
      <c r="C5" s="13" t="str">
        <f aca="false">IF($B$2="","",SUMIFS('Daily data (Sep)'!$G$2:$G$109,'Daily data (Sep)'!$D$2:$D$109,$B$2,'Daily data (Sep)'!$C$2:$C$109,"No",'Daily data (Sep)'!$K$2:$K$109,"Yes")/B5)</f>
        <v/>
      </c>
      <c r="D5" s="8" t="str">
        <f aca="false">IF($B$2="","",SUMIFS('Daily data (Sep)'!$F$2:$F$109,'Daily data (Sep)'!$D$2:$D$109,$B$2,'Daily data (Sep)'!$C$2:$C$109,"No",'Daily data (Sep)'!$K$2:$K$109,"Yes")/B5)</f>
        <v/>
      </c>
      <c r="E5" s="10" t="str">
        <f aca="false">IF($B$2="","",SUMIFS('Daily data (Sep)'!$H$2:$H$109,'Daily data (Sep)'!$D$2:$D$109,$B$2,'Daily data (Sep)'!$C$2:$C$109,"No",'Daily data (Sep)'!$K$2:$K$109,"Yes")/SUMIFS('Daily data (Sep)'!$F$2:$F$109,'Daily data (Sep)'!$D$2:$D$109,$B$2,'Daily data (Sep)'!$C$2:$C$109,"No",'Daily data (Sep)'!$K$2:$K$109,"Yes"))</f>
        <v/>
      </c>
      <c r="F5" s="13" t="str">
        <f aca="false">IF($B$2="","",SUMIFS('Daily data (Sep)'!$I$2:$I$109,'Daily data (Sep)'!$D$2:$D$109,$B$2,'Daily data (Sep)'!$C$2:$C$109,"No",'Daily data (Sep)'!$K$2:$K$109,"Yes")/B5)</f>
        <v/>
      </c>
      <c r="G5" s="14" t="str">
        <f aca="false">IF($B$2="","",F5/C5)</f>
        <v/>
      </c>
      <c r="H5" s="13" t="str">
        <f aca="false">IF($B$2="","",F5-C5)</f>
        <v/>
      </c>
      <c r="I5" s="36" t="n">
        <v>5</v>
      </c>
      <c r="J5" s="13" t="str">
        <f aca="false">IF($B$2="","",H5*I5)</f>
        <v/>
      </c>
    </row>
    <row r="6" customFormat="false" ht="15" hidden="false" customHeight="false" outlineLevel="0" collapsed="false">
      <c r="A6" s="12" t="s">
        <v>118</v>
      </c>
      <c r="B6" s="8" t="str">
        <f aca="false">IF($B$2="","",COUNTIFS('Daily data (Sep)'!$D$2:$D$109,$B$2,'Daily data (Sep)'!$C$2:$C$109,"Yes",'Daily data (Sep)'!$K$2:$K$109,"Yes"))</f>
        <v/>
      </c>
      <c r="C6" s="13" t="str">
        <f aca="false">IF($B$2="","",SUMIFS('Daily data (Sep)'!$G$2:$G$109,'Daily data (Sep)'!$D$2:$D$109,$B$2,'Daily data (Sep)'!$C$2:$C$109,"Yes",'Daily data (Sep)'!$K$2:$K$109,"Yes")/B6)</f>
        <v/>
      </c>
      <c r="D6" s="8" t="str">
        <f aca="false">IF($B$2="","",SUMIFS('Daily data (Sep)'!$F$2:$F$109,'Daily data (Sep)'!$D$2:$D$109,$B$2,'Daily data (Sep)'!$C$2:$C$109,"Yes",'Daily data (Sep)'!$K$2:$K$109,"Yes")/B6)</f>
        <v/>
      </c>
      <c r="E6" s="10" t="str">
        <f aca="false">IF($B$2="","",SUMIFS('Daily data (Sep)'!$H$2:$H$109,'Daily data (Sep)'!$D$2:$D$109,$B$2,'Daily data (Sep)'!$C$2:$C$109,"Yes",'Daily data (Sep)'!$K$2:$K$109,"Yes")/SUMIFS('Daily data (Sep)'!$F$2:$F$109,'Daily data (Sep)'!$D$2:$D$109,$B$2,'Daily data (Sep)'!$C$2:$C$109,"Yes",'Daily data (Sep)'!$K$2:$K$109,"Yes"))</f>
        <v/>
      </c>
      <c r="F6" s="13" t="str">
        <f aca="false">IF($B$2="","",SUMIFS('Daily data (Sep)'!$I$2:$I$109,'Daily data (Sep)'!$D$2:$D$109,$B$2,'Daily data (Sep)'!$C$2:$C$109,"Yes",'Daily data (Sep)'!$K$2:$K$109,"Yes")/B6)</f>
        <v/>
      </c>
      <c r="G6" s="14" t="str">
        <f aca="false">IF($B$2="","",F6/C6)</f>
        <v/>
      </c>
      <c r="H6" s="13" t="str">
        <f aca="false">IF($B$2="","",F6-C6)</f>
        <v/>
      </c>
      <c r="I6" s="36" t="n">
        <v>2</v>
      </c>
      <c r="J6" s="13" t="str">
        <f aca="false">IF($B$2="","",H6*I6)</f>
        <v/>
      </c>
    </row>
    <row r="8" customFormat="false" ht="15" hidden="false" customHeight="false" outlineLevel="0" collapsed="false">
      <c r="A8" s="12" t="s">
        <v>119</v>
      </c>
      <c r="B8" s="14" t="str">
        <f aca="false">IF($B$2="","",INDEX(Baseline!$M$4:$M$7,MATCH($B$2,Baseline!$A$4:$A$7,0)))</f>
        <v/>
      </c>
    </row>
    <row r="9" customFormat="false" ht="15" hidden="false" customHeight="false" outlineLevel="0" collapsed="false">
      <c r="A9" s="12" t="s">
        <v>120</v>
      </c>
      <c r="B9" s="9" t="str">
        <f aca="false">IF($B$2="","",F5/D5/B8)</f>
        <v/>
      </c>
    </row>
    <row r="10" customFormat="false" ht="15" hidden="false" customHeight="false" outlineLevel="0" collapsed="false">
      <c r="A10" s="12" t="s">
        <v>121</v>
      </c>
      <c r="B10" s="9" t="str">
        <f aca="false">IF($B$2="","",C5/D5)</f>
        <v/>
      </c>
    </row>
    <row r="11" customFormat="false" ht="15" hidden="false" customHeight="false" outlineLevel="0" collapsed="false">
      <c r="A11" s="12" t="s">
        <v>122</v>
      </c>
      <c r="B11" s="10" t="str">
        <f aca="false">IF($B$2="","",B9/B10-1)</f>
        <v/>
      </c>
    </row>
    <row r="13" customFormat="false" ht="15" hidden="false" customHeight="false" outlineLevel="0" collapsed="false">
      <c r="A13" s="11" t="s">
        <v>123</v>
      </c>
    </row>
  </sheetData>
  <dataValidations count="1">
    <dataValidation allowBlank="true" errorStyle="stop" operator="between" showDropDown="false" showErrorMessage="false" showInputMessage="false" sqref="B2" type="list">
      <formula1>"Personal Loans,Credit Cards,Pet Insurance,Business Software (CRM)"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3B"/>
    <pageSetUpPr fitToPage="false"/>
  </sheetPr>
  <dimension ref="A1:M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3" min="2" style="0" width="16"/>
  </cols>
  <sheetData>
    <row r="1" customFormat="false" ht="19.7" hidden="false" customHeight="false" outlineLevel="0" collapsed="false">
      <c r="A1" s="1" t="s">
        <v>124</v>
      </c>
    </row>
    <row r="2" customFormat="false" ht="15" hidden="false" customHeight="false" outlineLevel="0" collapsed="false">
      <c r="A2" s="11" t="s">
        <v>125</v>
      </c>
    </row>
    <row r="4" customFormat="false" ht="57.75" hidden="false" customHeight="true" outlineLevel="0" collapsed="false">
      <c r="A4" s="5" t="s">
        <v>22</v>
      </c>
      <c r="B4" s="5" t="s">
        <v>126</v>
      </c>
      <c r="C4" s="5" t="s">
        <v>127</v>
      </c>
      <c r="D4" s="5" t="s">
        <v>128</v>
      </c>
      <c r="E4" s="5" t="s">
        <v>129</v>
      </c>
      <c r="F4" s="5" t="s">
        <v>130</v>
      </c>
      <c r="G4" s="5" t="s">
        <v>131</v>
      </c>
      <c r="H4" s="5" t="s">
        <v>132</v>
      </c>
      <c r="I4" s="5" t="s">
        <v>133</v>
      </c>
      <c r="J4" s="5" t="s">
        <v>134</v>
      </c>
      <c r="K4" s="5" t="s">
        <v>135</v>
      </c>
      <c r="L4" s="5" t="s">
        <v>136</v>
      </c>
      <c r="M4" s="5" t="s">
        <v>137</v>
      </c>
    </row>
    <row r="5" customFormat="false" ht="15" hidden="false" customHeight="false" outlineLevel="0" collapsed="false">
      <c r="A5" s="12" t="s">
        <v>43</v>
      </c>
      <c r="B5" s="15" t="n">
        <v>308000</v>
      </c>
      <c r="C5" s="15" t="n">
        <v>40680</v>
      </c>
      <c r="D5" s="36" t="n">
        <v>4</v>
      </c>
      <c r="E5" s="36" t="n">
        <v>31</v>
      </c>
      <c r="F5" s="13" t="n">
        <f aca="false">C5/D5*E5</f>
        <v>315270</v>
      </c>
      <c r="G5" s="10" t="n">
        <f aca="false">F5/B5-1</f>
        <v>0.023603896103896</v>
      </c>
      <c r="H5" s="13" t="n">
        <f aca="false">(B5-C5)/(E5-D5)</f>
        <v>9900.74074074074</v>
      </c>
      <c r="I5" s="22" t="n">
        <f aca="false">5*SUMIFS('Daily data (Sep)'!$G$2:$G$109,'Daily data (Sep)'!$D$2:$D$109,$A5,'Daily data (Sep)'!$C$2:$C$109,"No",'Daily data (Sep)'!$K$2:$K$109,"Yes")/COUNTIFS('Daily data (Sep)'!$D$2:$D$109,$A5,'Daily data (Sep)'!$C$2:$C$109,"No",'Daily data (Sep)'!$K$2:$K$109,"Yes")/(5*SUMIFS('Daily data (Sep)'!$G$2:$G$109,'Daily data (Sep)'!$D$2:$D$109,$A5,'Daily data (Sep)'!$C$2:$C$109,"No",'Daily data (Sep)'!$K$2:$K$109,"Yes")/COUNTIFS('Daily data (Sep)'!$D$2:$D$109,$A5,'Daily data (Sep)'!$C$2:$C$109,"No",'Daily data (Sep)'!$K$2:$K$109,"Yes")+2*SUMIFS('Daily data (Sep)'!$G$2:$G$109,'Daily data (Sep)'!$D$2:$D$109,$A5,'Daily data (Sep)'!$C$2:$C$109,"Yes",'Daily data (Sep)'!$K$2:$K$109,"Yes")/COUNTIFS('Daily data (Sep)'!$D$2:$D$109,$A5,'Daily data (Sep)'!$C$2:$C$109,"Yes",'Daily data (Sep)'!$K$2:$K$109,"Yes"))</f>
        <v>0.761638488736911</v>
      </c>
      <c r="J5" s="36" t="n">
        <v>20</v>
      </c>
      <c r="K5" s="36" t="n">
        <v>7</v>
      </c>
      <c r="L5" s="13" t="n">
        <f aca="false">C5+C5/(2*I5/5+2*(1-I5)/2)*(J5*I5/5+K5*(1-I5)/2)</f>
        <v>331410.776327943</v>
      </c>
      <c r="M5" s="10" t="n">
        <f aca="false">L5/B5-1</f>
        <v>0.0760090140517615</v>
      </c>
    </row>
    <row r="6" customFormat="false" ht="15" hidden="false" customHeight="false" outlineLevel="0" collapsed="false">
      <c r="A6" s="12" t="s">
        <v>41</v>
      </c>
      <c r="B6" s="15" t="n">
        <v>125000</v>
      </c>
      <c r="C6" s="15" t="n">
        <v>15340</v>
      </c>
      <c r="D6" s="36" t="n">
        <v>4</v>
      </c>
      <c r="E6" s="36" t="n">
        <v>31</v>
      </c>
      <c r="F6" s="13" t="n">
        <f aca="false">C6/D6*E6</f>
        <v>118885</v>
      </c>
      <c r="G6" s="10" t="n">
        <f aca="false">F6/B6-1</f>
        <v>-0.04892</v>
      </c>
      <c r="H6" s="13" t="n">
        <f aca="false">(B6-C6)/(E6-D6)</f>
        <v>4061.48148148148</v>
      </c>
      <c r="I6" s="22" t="n">
        <f aca="false">5*SUMIFS('Daily data (Sep)'!$G$2:$G$109,'Daily data (Sep)'!$D$2:$D$109,$A6,'Daily data (Sep)'!$C$2:$C$109,"No",'Daily data (Sep)'!$K$2:$K$109,"Yes")/COUNTIFS('Daily data (Sep)'!$D$2:$D$109,$A6,'Daily data (Sep)'!$C$2:$C$109,"No",'Daily data (Sep)'!$K$2:$K$109,"Yes")/(5*SUMIFS('Daily data (Sep)'!$G$2:$G$109,'Daily data (Sep)'!$D$2:$D$109,$A6,'Daily data (Sep)'!$C$2:$C$109,"No",'Daily data (Sep)'!$K$2:$K$109,"Yes")/COUNTIFS('Daily data (Sep)'!$D$2:$D$109,$A6,'Daily data (Sep)'!$C$2:$C$109,"No",'Daily data (Sep)'!$K$2:$K$109,"Yes")+2*SUMIFS('Daily data (Sep)'!$G$2:$G$109,'Daily data (Sep)'!$D$2:$D$109,$A6,'Daily data (Sep)'!$C$2:$C$109,"Yes",'Daily data (Sep)'!$K$2:$K$109,"Yes")/COUNTIFS('Daily data (Sep)'!$D$2:$D$109,$A6,'Daily data (Sep)'!$C$2:$C$109,"Yes",'Daily data (Sep)'!$K$2:$K$109,"Yes"))</f>
        <v>0.736994428252663</v>
      </c>
      <c r="J6" s="36" t="n">
        <v>20</v>
      </c>
      <c r="K6" s="36" t="n">
        <v>7</v>
      </c>
      <c r="L6" s="13" t="n">
        <f aca="false">C6+C6/(2*I6/5+2*(1-I6)/2)*(J6*I6/5+K6*(1-I6)/2)</f>
        <v>121726.503423212</v>
      </c>
      <c r="M6" s="10" t="n">
        <f aca="false">L6/B6-1</f>
        <v>-0.0261879726143045</v>
      </c>
    </row>
    <row r="7" customFormat="false" ht="15" hidden="false" customHeight="false" outlineLevel="0" collapsed="false">
      <c r="A7" s="12" t="s">
        <v>45</v>
      </c>
      <c r="B7" s="15" t="n">
        <v>71300</v>
      </c>
      <c r="C7" s="15" t="n">
        <v>9030</v>
      </c>
      <c r="D7" s="36" t="n">
        <v>4</v>
      </c>
      <c r="E7" s="36" t="n">
        <v>31</v>
      </c>
      <c r="F7" s="13" t="n">
        <f aca="false">C7/D7*E7</f>
        <v>69982.5</v>
      </c>
      <c r="G7" s="10" t="n">
        <f aca="false">F7/B7-1</f>
        <v>-0.0184782608695652</v>
      </c>
      <c r="H7" s="13" t="n">
        <f aca="false">(B7-C7)/(E7-D7)</f>
        <v>2306.2962962963</v>
      </c>
      <c r="I7" s="22" t="n">
        <f aca="false">5*SUMIFS('Daily data (Sep)'!$G$2:$G$109,'Daily data (Sep)'!$D$2:$D$109,$A7,'Daily data (Sep)'!$C$2:$C$109,"No",'Daily data (Sep)'!$K$2:$K$109,"Yes")/COUNTIFS('Daily data (Sep)'!$D$2:$D$109,$A7,'Daily data (Sep)'!$C$2:$C$109,"No",'Daily data (Sep)'!$K$2:$K$109,"Yes")/(5*SUMIFS('Daily data (Sep)'!$G$2:$G$109,'Daily data (Sep)'!$D$2:$D$109,$A7,'Daily data (Sep)'!$C$2:$C$109,"No",'Daily data (Sep)'!$K$2:$K$109,"Yes")/COUNTIFS('Daily data (Sep)'!$D$2:$D$109,$A7,'Daily data (Sep)'!$C$2:$C$109,"No",'Daily data (Sep)'!$K$2:$K$109,"Yes")+2*SUMIFS('Daily data (Sep)'!$G$2:$G$109,'Daily data (Sep)'!$D$2:$D$109,$A7,'Daily data (Sep)'!$C$2:$C$109,"Yes",'Daily data (Sep)'!$K$2:$K$109,"Yes")/COUNTIFS('Daily data (Sep)'!$D$2:$D$109,$A7,'Daily data (Sep)'!$C$2:$C$109,"Yes",'Daily data (Sep)'!$K$2:$K$109,"Yes"))</f>
        <v>0.718331599379194</v>
      </c>
      <c r="J7" s="36" t="n">
        <v>20</v>
      </c>
      <c r="K7" s="36" t="n">
        <v>7</v>
      </c>
      <c r="L7" s="13" t="n">
        <f aca="false">C7+C7/(2*I7/5+2*(1-I7)/2)*(J7*I7/5+K7*(1-I7)/2)</f>
        <v>70274.6457890207</v>
      </c>
      <c r="M7" s="10" t="n">
        <f aca="false">L7/B7-1</f>
        <v>-0.0143808444737624</v>
      </c>
    </row>
    <row r="8" customFormat="false" ht="15" hidden="false" customHeight="false" outlineLevel="0" collapsed="false">
      <c r="A8" s="12" t="s">
        <v>33</v>
      </c>
      <c r="B8" s="15" t="n">
        <v>71000</v>
      </c>
      <c r="C8" s="15" t="n">
        <v>7860</v>
      </c>
      <c r="D8" s="36" t="n">
        <v>4</v>
      </c>
      <c r="E8" s="36" t="n">
        <v>31</v>
      </c>
      <c r="F8" s="13" t="n">
        <f aca="false">C8/D8*E8</f>
        <v>60915</v>
      </c>
      <c r="G8" s="10" t="n">
        <f aca="false">F8/B8-1</f>
        <v>-0.142042253521127</v>
      </c>
      <c r="H8" s="13" t="n">
        <f aca="false">(B8-C8)/(E8-D8)</f>
        <v>2338.51851851852</v>
      </c>
      <c r="I8" s="22" t="n">
        <f aca="false">5*SUMIFS('Daily data (Sep)'!$G$2:$G$109,'Daily data (Sep)'!$D$2:$D$109,$A8,'Daily data (Sep)'!$C$2:$C$109,"No",'Daily data (Sep)'!$K$2:$K$109,"Yes")/COUNTIFS('Daily data (Sep)'!$D$2:$D$109,$A8,'Daily data (Sep)'!$C$2:$C$109,"No",'Daily data (Sep)'!$K$2:$K$109,"Yes")/(5*SUMIFS('Daily data (Sep)'!$G$2:$G$109,'Daily data (Sep)'!$D$2:$D$109,$A8,'Daily data (Sep)'!$C$2:$C$109,"No",'Daily data (Sep)'!$K$2:$K$109,"Yes")/COUNTIFS('Daily data (Sep)'!$D$2:$D$109,$A8,'Daily data (Sep)'!$C$2:$C$109,"No",'Daily data (Sep)'!$K$2:$K$109,"Yes")+2*SUMIFS('Daily data (Sep)'!$G$2:$G$109,'Daily data (Sep)'!$D$2:$D$109,$A8,'Daily data (Sep)'!$C$2:$C$109,"Yes",'Daily data (Sep)'!$K$2:$K$109,"Yes")/COUNTIFS('Daily data (Sep)'!$D$2:$D$109,$A8,'Daily data (Sep)'!$C$2:$C$109,"Yes",'Daily data (Sep)'!$K$2:$K$109,"Yes"))</f>
        <v>0.861684377011951</v>
      </c>
      <c r="J8" s="36" t="n">
        <v>20</v>
      </c>
      <c r="K8" s="36" t="n">
        <v>7</v>
      </c>
      <c r="L8" s="13" t="n">
        <f aca="false">C8+C8/(2*I8/5+2*(1-I8)/2)*(J8*I8/5+K8*(1-I8)/2)</f>
        <v>71829.1497952282</v>
      </c>
      <c r="M8" s="10" t="n">
        <f aca="false">L8/B8-1</f>
        <v>0.0116781661299747</v>
      </c>
    </row>
    <row r="10" customFormat="false" ht="15" hidden="false" customHeight="false" outlineLevel="0" collapsed="false">
      <c r="A10" s="11" t="s">
        <v>138</v>
      </c>
    </row>
    <row r="11" customFormat="false" ht="15" hidden="false" customHeight="false" outlineLevel="0" collapsed="false">
      <c r="A11" s="11"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2026-10-01T08:01:14Z</dcterms:created>
  <dc:creator>openpyxl</dc:creator>
  <dc:description/>
  <dc:language>en-US</dc:language>
  <cp:lastModifiedBy/>
  <dcterms:modified xsi:type="dcterms:W3CDTF">2026-10-01T08:01:14Z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